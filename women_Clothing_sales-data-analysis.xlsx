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1\OneDrive\المستندات\weam\"/>
    </mc:Choice>
  </mc:AlternateContent>
  <bookViews>
    <workbookView xWindow="-105" yWindow="-105" windowWidth="23250" windowHeight="12450" activeTab="2"/>
  </bookViews>
  <sheets>
    <sheet name="pivot table" sheetId="3" r:id="rId1"/>
    <sheet name="Dashboards" sheetId="4" r:id="rId2"/>
    <sheet name="working data" sheetId="2" r:id="rId3"/>
    <sheet name="back up" sheetId="1" r:id="rId4"/>
  </sheets>
  <definedNames>
    <definedName name="_xlnm._FilterDatabase" localSheetId="2" hidden="1">'working data'!$L$1:$L$219</definedName>
  </definedNames>
  <calcPr calcId="162913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7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2" i="2"/>
  <c r="L193" i="2"/>
  <c r="L201" i="2"/>
  <c r="I18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5" i="2"/>
  <c r="I126" i="2"/>
  <c r="I127" i="2"/>
  <c r="I128" i="2"/>
  <c r="I129" i="2"/>
  <c r="I130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2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5" i="2"/>
  <c r="K126" i="2"/>
  <c r="K127" i="2"/>
  <c r="K128" i="2"/>
  <c r="K129" i="2"/>
  <c r="K130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" i="2"/>
  <c r="M160" i="2"/>
  <c r="M164" i="2"/>
  <c r="M181" i="2"/>
  <c r="H20" i="2"/>
  <c r="K20" i="2" s="1"/>
  <c r="H38" i="2"/>
  <c r="K38" i="2" s="1"/>
  <c r="H68" i="2"/>
  <c r="K68" i="2" s="1"/>
  <c r="H124" i="2"/>
  <c r="K124" i="2" s="1"/>
  <c r="H131" i="2"/>
  <c r="K131" i="2" s="1"/>
  <c r="H174" i="2"/>
  <c r="K174" i="2" s="1"/>
  <c r="G169" i="2"/>
  <c r="G175" i="2"/>
  <c r="G185" i="2"/>
  <c r="B207" i="2"/>
  <c r="I124" i="2" l="1"/>
  <c r="I68" i="2"/>
  <c r="I131" i="2"/>
  <c r="I174" i="2"/>
  <c r="I38" i="2"/>
  <c r="B219" i="1"/>
</calcChain>
</file>

<file path=xl/sharedStrings.xml><?xml version="1.0" encoding="utf-8"?>
<sst xmlns="http://schemas.openxmlformats.org/spreadsheetml/2006/main" count="3583" uniqueCount="476">
  <si>
    <t>Invoice_ID</t>
  </si>
  <si>
    <t>Date</t>
  </si>
  <si>
    <t>Customer_ID</t>
  </si>
  <si>
    <t>Product_Category</t>
  </si>
  <si>
    <t>Product_Name</t>
  </si>
  <si>
    <t>Size</t>
  </si>
  <si>
    <t>Color</t>
  </si>
  <si>
    <t>Quantity</t>
  </si>
  <si>
    <t>Price</t>
  </si>
  <si>
    <t>Payment_Method</t>
  </si>
  <si>
    <t>Store_Location</t>
  </si>
  <si>
    <t>INV3068</t>
  </si>
  <si>
    <t>INV1534</t>
  </si>
  <si>
    <t>INV2654</t>
  </si>
  <si>
    <t>INV6781</t>
  </si>
  <si>
    <t>INV7371</t>
  </si>
  <si>
    <t>INV8298</t>
  </si>
  <si>
    <t>INV1058</t>
  </si>
  <si>
    <t>INV2743</t>
  </si>
  <si>
    <t>INV6107</t>
  </si>
  <si>
    <t>INV3245</t>
  </si>
  <si>
    <t>INV1674</t>
  </si>
  <si>
    <t>INV3584</t>
  </si>
  <si>
    <t>INV9233</t>
  </si>
  <si>
    <t>INV6222</t>
  </si>
  <si>
    <t>INV8692</t>
  </si>
  <si>
    <t>INV1025</t>
  </si>
  <si>
    <t>INV8784</t>
  </si>
  <si>
    <t>INV6315</t>
  </si>
  <si>
    <t>INV1762</t>
  </si>
  <si>
    <t>INV6123</t>
  </si>
  <si>
    <t>INV1096</t>
  </si>
  <si>
    <t>INV5668</t>
  </si>
  <si>
    <t>INV3546</t>
  </si>
  <si>
    <t>INV2288</t>
  </si>
  <si>
    <t>INV1387</t>
  </si>
  <si>
    <t>INV5065</t>
  </si>
  <si>
    <t>INV4673</t>
  </si>
  <si>
    <t>INV5386</t>
  </si>
  <si>
    <t>INV3060</t>
  </si>
  <si>
    <t>INV6995</t>
  </si>
  <si>
    <t>INV7658</t>
  </si>
  <si>
    <t>INV1536</t>
  </si>
  <si>
    <t>INV3803</t>
  </si>
  <si>
    <t>INV2101</t>
  </si>
  <si>
    <t>INV3547</t>
  </si>
  <si>
    <t>INV8702</t>
  </si>
  <si>
    <t>INV2291</t>
  </si>
  <si>
    <t>INV8792</t>
  </si>
  <si>
    <t>INV4608</t>
  </si>
  <si>
    <t>INV5952</t>
  </si>
  <si>
    <t>INV1200</t>
  </si>
  <si>
    <t>INV7525</t>
  </si>
  <si>
    <t>INV1402</t>
  </si>
  <si>
    <t>INV3001</t>
  </si>
  <si>
    <t>INV7161</t>
  </si>
  <si>
    <t>INV9998</t>
  </si>
  <si>
    <t>INV4968</t>
  </si>
  <si>
    <t>INV1510</t>
  </si>
  <si>
    <t>INV7142</t>
  </si>
  <si>
    <t>INV4984</t>
  </si>
  <si>
    <t>INV8398</t>
  </si>
  <si>
    <t>INV9797</t>
  </si>
  <si>
    <t>INV7684</t>
  </si>
  <si>
    <t>INV8043</t>
  </si>
  <si>
    <t>INV2771</t>
  </si>
  <si>
    <t>INV2753</t>
  </si>
  <si>
    <t>INV1018</t>
  </si>
  <si>
    <t>INV2946</t>
  </si>
  <si>
    <t>INV6400</t>
  </si>
  <si>
    <t>INV8361</t>
  </si>
  <si>
    <t>INV5022</t>
  </si>
  <si>
    <t>INV8022</t>
  </si>
  <si>
    <t>INV9442</t>
  </si>
  <si>
    <t>INV2020</t>
  </si>
  <si>
    <t>INV6269</t>
  </si>
  <si>
    <t>INV4457</t>
  </si>
  <si>
    <t>INV6848</t>
  </si>
  <si>
    <t>INV6447</t>
  </si>
  <si>
    <t>INV4214</t>
  </si>
  <si>
    <t>INV9972</t>
  </si>
  <si>
    <t>INV5961</t>
  </si>
  <si>
    <t>INV8993</t>
  </si>
  <si>
    <t>INV4396</t>
  </si>
  <si>
    <t>INV1341</t>
  </si>
  <si>
    <t>INV1319</t>
  </si>
  <si>
    <t>INV3621</t>
  </si>
  <si>
    <t>INV9038</t>
  </si>
  <si>
    <t>INV3248</t>
  </si>
  <si>
    <t>INV9984</t>
  </si>
  <si>
    <t>INV3255</t>
  </si>
  <si>
    <t>INV9079</t>
  </si>
  <si>
    <t>INV5264</t>
  </si>
  <si>
    <t>INV9565</t>
  </si>
  <si>
    <t>INV6067</t>
  </si>
  <si>
    <t>INV4804</t>
  </si>
  <si>
    <t>INV2591</t>
  </si>
  <si>
    <t>INV6417</t>
  </si>
  <si>
    <t>INV2388</t>
  </si>
  <si>
    <t>INV3756</t>
  </si>
  <si>
    <t>INV6666</t>
  </si>
  <si>
    <t>INV2773</t>
  </si>
  <si>
    <t>INV4289</t>
  </si>
  <si>
    <t>INV9279</t>
  </si>
  <si>
    <t>INV2035</t>
  </si>
  <si>
    <t>INV7333</t>
  </si>
  <si>
    <t>INV8752</t>
  </si>
  <si>
    <t>INV5419</t>
  </si>
  <si>
    <t>INV8178</t>
  </si>
  <si>
    <t>INV4271</t>
  </si>
  <si>
    <t>INV4585</t>
  </si>
  <si>
    <t>INV8770</t>
  </si>
  <si>
    <t>INV3807</t>
  </si>
  <si>
    <t>INV5450</t>
  </si>
  <si>
    <t>INV3973</t>
  </si>
  <si>
    <t>INV2824</t>
  </si>
  <si>
    <t>INV2684</t>
  </si>
  <si>
    <t>INV7505</t>
  </si>
  <si>
    <t>INV2752</t>
  </si>
  <si>
    <t>INV4328</t>
  </si>
  <si>
    <t>INV5381</t>
  </si>
  <si>
    <t>INV9320</t>
  </si>
  <si>
    <t>INV6517</t>
  </si>
  <si>
    <t>INV9540</t>
  </si>
  <si>
    <t>INV5390</t>
  </si>
  <si>
    <t>INV4376</t>
  </si>
  <si>
    <t>INV8739</t>
  </si>
  <si>
    <t>INV9138</t>
  </si>
  <si>
    <t>INV3925</t>
  </si>
  <si>
    <t>INV6697</t>
  </si>
  <si>
    <t>INV5563</t>
  </si>
  <si>
    <t>INV2880</t>
  </si>
  <si>
    <t>INV6253</t>
  </si>
  <si>
    <t>INV3868</t>
  </si>
  <si>
    <t>INV6511</t>
  </si>
  <si>
    <t>INV2211</t>
  </si>
  <si>
    <t>INV4422</t>
  </si>
  <si>
    <t>INV6793</t>
  </si>
  <si>
    <t>INV9488</t>
  </si>
  <si>
    <t>INV9151</t>
  </si>
  <si>
    <t>INV2213</t>
  </si>
  <si>
    <t>INV1887</t>
  </si>
  <si>
    <t>INV2514</t>
  </si>
  <si>
    <t>INV1151</t>
  </si>
  <si>
    <t>INV1422</t>
  </si>
  <si>
    <t>INV3549</t>
  </si>
  <si>
    <t>INV1939</t>
  </si>
  <si>
    <t>INV5102</t>
  </si>
  <si>
    <t>INV5295</t>
  </si>
  <si>
    <t>INV5634</t>
  </si>
  <si>
    <t>INV6236</t>
  </si>
  <si>
    <t>INV7232</t>
  </si>
  <si>
    <t>INV4111</t>
  </si>
  <si>
    <t>INV4538</t>
  </si>
  <si>
    <t>INV1606</t>
  </si>
  <si>
    <t>INV6573</t>
  </si>
  <si>
    <t>INV3037</t>
  </si>
  <si>
    <t>INV8642</t>
  </si>
  <si>
    <t>INV2747</t>
  </si>
  <si>
    <t>INV3218</t>
  </si>
  <si>
    <t>INV1590</t>
  </si>
  <si>
    <t>INV5920</t>
  </si>
  <si>
    <t>INV1502</t>
  </si>
  <si>
    <t>INV3222</t>
  </si>
  <si>
    <t>INV3953</t>
  </si>
  <si>
    <t>INV1616</t>
  </si>
  <si>
    <t>INV5906</t>
  </si>
  <si>
    <t>INV7878</t>
  </si>
  <si>
    <t>INV3399</t>
  </si>
  <si>
    <t>INV1436</t>
  </si>
  <si>
    <t>INV7214</t>
  </si>
  <si>
    <t>INV5949</t>
  </si>
  <si>
    <t>INV7797</t>
  </si>
  <si>
    <t>INV5232</t>
  </si>
  <si>
    <t>INV4637</t>
  </si>
  <si>
    <t>INV9476</t>
  </si>
  <si>
    <t>INV4937</t>
  </si>
  <si>
    <t>INV9779</t>
  </si>
  <si>
    <t>INV8673</t>
  </si>
  <si>
    <t>INV5067</t>
  </si>
  <si>
    <t>INV5807</t>
  </si>
  <si>
    <t>INV3858</t>
  </si>
  <si>
    <t>INV2983</t>
  </si>
  <si>
    <t>INV2041</t>
  </si>
  <si>
    <t>INV6272</t>
  </si>
  <si>
    <t>INV8736</t>
  </si>
  <si>
    <t>INV4434</t>
  </si>
  <si>
    <t>INV5930</t>
  </si>
  <si>
    <t>INV8206</t>
  </si>
  <si>
    <t>INV3419</t>
  </si>
  <si>
    <t>INV9698</t>
  </si>
  <si>
    <t>INV9564</t>
  </si>
  <si>
    <t>INV1944</t>
  </si>
  <si>
    <t>INV3295</t>
  </si>
  <si>
    <t>INV9270</t>
  </si>
  <si>
    <t>INV1086</t>
  </si>
  <si>
    <t>INV6372</t>
  </si>
  <si>
    <t>INV6804</t>
  </si>
  <si>
    <t>INV1727</t>
  </si>
  <si>
    <t>INV9117</t>
  </si>
  <si>
    <t>INV6934</t>
  </si>
  <si>
    <t>INV3252</t>
  </si>
  <si>
    <t>INV4570</t>
  </si>
  <si>
    <t>INV9830</t>
  </si>
  <si>
    <t>INV6295</t>
  </si>
  <si>
    <t>INV5712</t>
  </si>
  <si>
    <t>INV2341</t>
  </si>
  <si>
    <t>INV8508</t>
  </si>
  <si>
    <t>INV3167</t>
  </si>
  <si>
    <t>CUST323</t>
  </si>
  <si>
    <t>CUST819</t>
  </si>
  <si>
    <t>CUST954</t>
  </si>
  <si>
    <t>CUST711</t>
  </si>
  <si>
    <t>CUST514</t>
  </si>
  <si>
    <t>CUST525</t>
  </si>
  <si>
    <t>CUST368</t>
  </si>
  <si>
    <t>CUST619</t>
  </si>
  <si>
    <t>CUST548</t>
  </si>
  <si>
    <t>CUST631</t>
  </si>
  <si>
    <t>CUST726</t>
  </si>
  <si>
    <t>CUST754</t>
  </si>
  <si>
    <t>CUST407</t>
  </si>
  <si>
    <t>CUST507</t>
  </si>
  <si>
    <t>CUST526</t>
  </si>
  <si>
    <t>CUST744</t>
  </si>
  <si>
    <t>CUST497</t>
  </si>
  <si>
    <t>CUST656</t>
  </si>
  <si>
    <t>CUST627</t>
  </si>
  <si>
    <t>CUST973</t>
  </si>
  <si>
    <t>CUST416</t>
  </si>
  <si>
    <t>CUST834</t>
  </si>
  <si>
    <t>CUST326</t>
  </si>
  <si>
    <t>CUST385</t>
  </si>
  <si>
    <t>CUST210</t>
  </si>
  <si>
    <t>CUST342</t>
  </si>
  <si>
    <t>CUST680</t>
  </si>
  <si>
    <t>CUST662</t>
  </si>
  <si>
    <t>CUST675</t>
  </si>
  <si>
    <t>CUST510</t>
  </si>
  <si>
    <t>CUST555</t>
  </si>
  <si>
    <t>CUST573</t>
  </si>
  <si>
    <t>CUST492</t>
  </si>
  <si>
    <t>CUST489</t>
  </si>
  <si>
    <t>CUST482</t>
  </si>
  <si>
    <t>CUST733</t>
  </si>
  <si>
    <t>CUST561</t>
  </si>
  <si>
    <t>CUST160</t>
  </si>
  <si>
    <t>CUST380</t>
  </si>
  <si>
    <t>CUST551</t>
  </si>
  <si>
    <t>CUST346</t>
  </si>
  <si>
    <t>CUST187</t>
  </si>
  <si>
    <t>CUST757</t>
  </si>
  <si>
    <t>CUST677</t>
  </si>
  <si>
    <t>CUST815</t>
  </si>
  <si>
    <t>CUST212</t>
  </si>
  <si>
    <t>CUST536</t>
  </si>
  <si>
    <t>CUST201</t>
  </si>
  <si>
    <t>CUST947</t>
  </si>
  <si>
    <t>CUST564</t>
  </si>
  <si>
    <t>CUST400</t>
  </si>
  <si>
    <t>CUST216</t>
  </si>
  <si>
    <t>CUST707</t>
  </si>
  <si>
    <t>CUST689</t>
  </si>
  <si>
    <t>CUST296</t>
  </si>
  <si>
    <t>CUST155</t>
  </si>
  <si>
    <t>CUST913</t>
  </si>
  <si>
    <t>CUST111</t>
  </si>
  <si>
    <t>CUST193</t>
  </si>
  <si>
    <t>CUST349</t>
  </si>
  <si>
    <t>CUST366</t>
  </si>
  <si>
    <t>CUST197</t>
  </si>
  <si>
    <t>CUST674</t>
  </si>
  <si>
    <t>CUST764</t>
  </si>
  <si>
    <t>CUST345</t>
  </si>
  <si>
    <t>CUST227</t>
  </si>
  <si>
    <t>CUST446</t>
  </si>
  <si>
    <t>CUST953</t>
  </si>
  <si>
    <t>CUST253</t>
  </si>
  <si>
    <t>CUST756</t>
  </si>
  <si>
    <t>CUST521</t>
  </si>
  <si>
    <t>CUST591</t>
  </si>
  <si>
    <t>CUST732</t>
  </si>
  <si>
    <t>CUST951</t>
  </si>
  <si>
    <t>CUST494</t>
  </si>
  <si>
    <t>CUST484</t>
  </si>
  <si>
    <t>CUST107</t>
  </si>
  <si>
    <t>CUST765</t>
  </si>
  <si>
    <t>CUST382</t>
  </si>
  <si>
    <t>CUST833</t>
  </si>
  <si>
    <t>CUST638</t>
  </si>
  <si>
    <t>CUST138</t>
  </si>
  <si>
    <t>CUST363</t>
  </si>
  <si>
    <t>CUST910</t>
  </si>
  <si>
    <t>CUST659</t>
  </si>
  <si>
    <t>CUST958</t>
  </si>
  <si>
    <t>CUST880</t>
  </si>
  <si>
    <t>CUST474</t>
  </si>
  <si>
    <t>CUST409</t>
  </si>
  <si>
    <t>CUST772</t>
  </si>
  <si>
    <t>CUST945</t>
  </si>
  <si>
    <t>CUST541</t>
  </si>
  <si>
    <t>CUST153</t>
  </si>
  <si>
    <t>CUST151</t>
  </si>
  <si>
    <t>CUST195</t>
  </si>
  <si>
    <t>CUST760</t>
  </si>
  <si>
    <t>CUST700</t>
  </si>
  <si>
    <t>CUST603</t>
  </si>
  <si>
    <t>CUST328</t>
  </si>
  <si>
    <t>CUST516</t>
  </si>
  <si>
    <t>CUST676</t>
  </si>
  <si>
    <t>CUST169</t>
  </si>
  <si>
    <t>CUST257</t>
  </si>
  <si>
    <t>CUST162</t>
  </si>
  <si>
    <t>CUST749</t>
  </si>
  <si>
    <t>CUST557</t>
  </si>
  <si>
    <t>CUST105</t>
  </si>
  <si>
    <t>CUST460</t>
  </si>
  <si>
    <t>CUST502</t>
  </si>
  <si>
    <t>CUST177</t>
  </si>
  <si>
    <t>CUST372</t>
  </si>
  <si>
    <t>CUST421</t>
  </si>
  <si>
    <t>CUST734</t>
  </si>
  <si>
    <t>CUST825</t>
  </si>
  <si>
    <t>CUST115</t>
  </si>
  <si>
    <t>CUST838</t>
  </si>
  <si>
    <t>CUST430</t>
  </si>
  <si>
    <t>CUST184</t>
  </si>
  <si>
    <t>CUST255</t>
  </si>
  <si>
    <t>CUST200</t>
  </si>
  <si>
    <t>CUST152</t>
  </si>
  <si>
    <t>CUST443</t>
  </si>
  <si>
    <t>CUST907</t>
  </si>
  <si>
    <t>CUST472</t>
  </si>
  <si>
    <t>CUST790</t>
  </si>
  <si>
    <t>CUST480</t>
  </si>
  <si>
    <t>CUST775</t>
  </si>
  <si>
    <t>CUST663</t>
  </si>
  <si>
    <t>CUST702</t>
  </si>
  <si>
    <t>CUST693</t>
  </si>
  <si>
    <t>CUST439</t>
  </si>
  <si>
    <t>CUST835</t>
  </si>
  <si>
    <t>CUST512</t>
  </si>
  <si>
    <t>CUST244</t>
  </si>
  <si>
    <t>CUST688</t>
  </si>
  <si>
    <t>CUST530</t>
  </si>
  <si>
    <t>CUST540</t>
  </si>
  <si>
    <t>CUST434</t>
  </si>
  <si>
    <t>CUST485</t>
  </si>
  <si>
    <t>CUST860</t>
  </si>
  <si>
    <t>CUST597</t>
  </si>
  <si>
    <t>CUST178</t>
  </si>
  <si>
    <t>CUST157</t>
  </si>
  <si>
    <t>CUST213</t>
  </si>
  <si>
    <t>CUST831</t>
  </si>
  <si>
    <t>CUST771</t>
  </si>
  <si>
    <t>CUST258</t>
  </si>
  <si>
    <t>CUST801</t>
  </si>
  <si>
    <t>CUST818</t>
  </si>
  <si>
    <t>CUST694</t>
  </si>
  <si>
    <t>CUST898</t>
  </si>
  <si>
    <t>CUST602</t>
  </si>
  <si>
    <t>CUST856</t>
  </si>
  <si>
    <t>CUST331</t>
  </si>
  <si>
    <t>CUST762</t>
  </si>
  <si>
    <t>CUST142</t>
  </si>
  <si>
    <t>CUST538</t>
  </si>
  <si>
    <t>CUST625</t>
  </si>
  <si>
    <t>CUST170</t>
  </si>
  <si>
    <t>CUST411</t>
  </si>
  <si>
    <t>CUST378</t>
  </si>
  <si>
    <t>CUST302</t>
  </si>
  <si>
    <t>CUST389</t>
  </si>
  <si>
    <t>CUST670</t>
  </si>
  <si>
    <t>CUST849</t>
  </si>
  <si>
    <t>CUST262</t>
  </si>
  <si>
    <t>CUST955</t>
  </si>
  <si>
    <t>CUST717</t>
  </si>
  <si>
    <t>CUST922</t>
  </si>
  <si>
    <t>CUST933</t>
  </si>
  <si>
    <t>CUST545</t>
  </si>
  <si>
    <t>CUST254</t>
  </si>
  <si>
    <t>CUST697</t>
  </si>
  <si>
    <t>CUST552</t>
  </si>
  <si>
    <t>CUST175</t>
  </si>
  <si>
    <t>CUST903</t>
  </si>
  <si>
    <t>SHOES</t>
  </si>
  <si>
    <t>PANTS</t>
  </si>
  <si>
    <t>dresses</t>
  </si>
  <si>
    <t>shoes</t>
  </si>
  <si>
    <t>accessories</t>
  </si>
  <si>
    <t>ACCESSORIES</t>
  </si>
  <si>
    <t>pants</t>
  </si>
  <si>
    <t>tops</t>
  </si>
  <si>
    <t>DRESSES</t>
  </si>
  <si>
    <t>TOPS</t>
  </si>
  <si>
    <t>Sneakers</t>
  </si>
  <si>
    <t>Heels</t>
  </si>
  <si>
    <t>Jeans</t>
  </si>
  <si>
    <t>Flats</t>
  </si>
  <si>
    <t>Summer Dress</t>
  </si>
  <si>
    <t>Maxi Dress</t>
  </si>
  <si>
    <t>Necklace</t>
  </si>
  <si>
    <t>Bracelet</t>
  </si>
  <si>
    <t>Leggings</t>
  </si>
  <si>
    <t>T-shirt</t>
  </si>
  <si>
    <t>Tank Top</t>
  </si>
  <si>
    <t>Scarf</t>
  </si>
  <si>
    <t>Trousers</t>
  </si>
  <si>
    <t>Evening Dress</t>
  </si>
  <si>
    <t>Blouse</t>
  </si>
  <si>
    <t>Sweater</t>
  </si>
  <si>
    <t>M</t>
  </si>
  <si>
    <t>S</t>
  </si>
  <si>
    <t>XL</t>
  </si>
  <si>
    <t>XS</t>
  </si>
  <si>
    <t>L</t>
  </si>
  <si>
    <t>Blue</t>
  </si>
  <si>
    <t>Red</t>
  </si>
  <si>
    <t>Green</t>
  </si>
  <si>
    <t>Black</t>
  </si>
  <si>
    <t>White</t>
  </si>
  <si>
    <t>100.00</t>
  </si>
  <si>
    <t>$80</t>
  </si>
  <si>
    <t>50</t>
  </si>
  <si>
    <t>Credit Card</t>
  </si>
  <si>
    <t>Cash</t>
  </si>
  <si>
    <t>Mobile Payment</t>
  </si>
  <si>
    <t>Credi Card</t>
  </si>
  <si>
    <t>Bahri</t>
  </si>
  <si>
    <t>Omdurman</t>
  </si>
  <si>
    <t>Khartoum</t>
  </si>
  <si>
    <t>omdurman</t>
  </si>
  <si>
    <t>khartoum</t>
  </si>
  <si>
    <t>bahri</t>
  </si>
  <si>
    <t xml:space="preserve">  SHOES</t>
  </si>
  <si>
    <t xml:space="preserve"> DRESSES</t>
  </si>
  <si>
    <t>Cleaned Product_category</t>
  </si>
  <si>
    <t>Shoes</t>
  </si>
  <si>
    <t>Pants</t>
  </si>
  <si>
    <t>Dresses</t>
  </si>
  <si>
    <t>Accessories</t>
  </si>
  <si>
    <t>Tops</t>
  </si>
  <si>
    <t>Large</t>
  </si>
  <si>
    <t>Small</t>
  </si>
  <si>
    <t>Mediam</t>
  </si>
  <si>
    <t>XLarge</t>
  </si>
  <si>
    <t>XSmall</t>
  </si>
  <si>
    <t>Total_Sales</t>
  </si>
  <si>
    <t>Quantity_Level</t>
  </si>
  <si>
    <t>Ticket</t>
  </si>
  <si>
    <t>KPI'S</t>
  </si>
  <si>
    <t>Count of Invoice_ID</t>
  </si>
  <si>
    <t>Total orders</t>
  </si>
  <si>
    <t>Sum of Total_Sales</t>
  </si>
  <si>
    <t>Total Revenue</t>
  </si>
  <si>
    <t>Row Labels</t>
  </si>
  <si>
    <t>Grand Total</t>
  </si>
  <si>
    <t>Column Labels</t>
  </si>
  <si>
    <t>2024</t>
  </si>
  <si>
    <t>Qtr2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</si>
  <si>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</si>
  <si>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</si>
  <si>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</si>
  <si>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</si>
  <si>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</si>
  <si>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</si>
  <si>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</si>
  <si>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</si>
  <si>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</si>
  <si>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2025</t>
  </si>
  <si>
    <t>Qtr1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</si>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</sst>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0" fontId="1" fillId="2" borderId="0" xfId="0" applyFont="1" applyFill="1"/>
    <xf numFmtId="14" fontId="1" fillId="2" borderId="0" xfId="0" applyNumberFormat="1" applyFont="1" applyFill="1" applyAlignment="1">
      <alignment horizontal="center" vertical="top"/>
    </xf>
    <xf numFmtId="0" fontId="0" fillId="0" borderId="0" xfId="0" applyNumberFormat="1"/>
    <xf numFmtId="0" fontId="3" fillId="3" borderId="0" xfId="0" applyFont="1" applyFill="1"/>
    <xf numFmtId="0" fontId="3" fillId="4" borderId="0" xfId="0" applyFont="1" applyFill="1"/>
    <xf numFmtId="0" fontId="0" fillId="0" borderId="0" xfId="0" pivotButton="1"/>
    <xf numFmtId="0" fontId="4" fillId="5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table'!$A$18:$A$21</c:f>
              <c:strCache>
                <c:ptCount val="3"/>
                <c:pt idx="0">
                  <c:v>Bahri</c:v>
                </c:pt>
                <c:pt idx="1">
                  <c:v>Omdurman</c:v>
                </c:pt>
                <c:pt idx="2">
                  <c:v>Khartoum</c:v>
                </c:pt>
              </c:strCache>
            </c:strRef>
          </c:cat>
          <c:val>
            <c:numRef>
              <c:f>'pivot table'!$B$18:$B$21</c:f>
              <c:numCache>
                <c:formatCode>General</c:formatCode>
                <c:ptCount val="3"/>
                <c:pt idx="0">
                  <c:v>78</c:v>
                </c:pt>
                <c:pt idx="1">
                  <c:v>66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5-44EA-B619-7CE4E9152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739200"/>
        <c:axId val="2110735456"/>
      </c:barChart>
      <c:catAx>
        <c:axId val="211073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35456"/>
        <c:crosses val="autoZero"/>
        <c:auto val="1"/>
        <c:lblAlgn val="ctr"/>
        <c:lblOffset val="100"/>
        <c:noMultiLvlLbl val="0"/>
      </c:catAx>
      <c:valAx>
        <c:axId val="21107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Bahri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table'!$A$27:$A$32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table'!$B$27:$B$32</c:f>
              <c:numCache>
                <c:formatCode>General</c:formatCode>
                <c:ptCount val="5"/>
                <c:pt idx="0">
                  <c:v>14</c:v>
                </c:pt>
                <c:pt idx="1">
                  <c:v>13</c:v>
                </c:pt>
                <c:pt idx="2">
                  <c:v>16</c:v>
                </c:pt>
                <c:pt idx="3">
                  <c:v>24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2-406E-843B-461E790B8D71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Khartoum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table'!$A$27:$A$32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table'!$C$27:$C$32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2-406E-843B-461E790B8D71}"/>
            </c:ext>
          </c:extLst>
        </c:ser>
        <c:ser>
          <c:idx val="2"/>
          <c:order val="2"/>
          <c:tx>
            <c:strRef>
              <c:f>'pivot table'!$D$25:$D$26</c:f>
              <c:strCache>
                <c:ptCount val="1"/>
                <c:pt idx="0">
                  <c:v>Omdurman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table'!$A$27:$A$32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table'!$D$27:$D$32</c:f>
              <c:numCache>
                <c:formatCode>General</c:formatCode>
                <c:ptCount val="5"/>
                <c:pt idx="0">
                  <c:v>15</c:v>
                </c:pt>
                <c:pt idx="1">
                  <c:v>16</c:v>
                </c:pt>
                <c:pt idx="2">
                  <c:v>13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52-406E-843B-461E790B8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737536"/>
        <c:axId val="2110730464"/>
      </c:barChart>
      <c:catAx>
        <c:axId val="21107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30464"/>
        <c:crosses val="autoZero"/>
        <c:auto val="1"/>
        <c:lblAlgn val="ctr"/>
        <c:lblOffset val="100"/>
        <c:noMultiLvlLbl val="0"/>
      </c:catAx>
      <c:valAx>
        <c:axId val="211073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table'!$A$50:$A$55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table'!$B$50:$B$55</c:f>
              <c:numCache>
                <c:formatCode>General</c:formatCode>
                <c:ptCount val="5"/>
                <c:pt idx="0">
                  <c:v>15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2-4842-90E0-C6A86CD86684}"/>
            </c:ext>
          </c:extLst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table'!$A$50:$A$55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table'!$C$50:$C$55</c:f>
              <c:numCache>
                <c:formatCode>General</c:formatCode>
                <c:ptCount val="5"/>
                <c:pt idx="0">
                  <c:v>9</c:v>
                </c:pt>
                <c:pt idx="1">
                  <c:v>13</c:v>
                </c:pt>
                <c:pt idx="2">
                  <c:v>7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2-4842-90E0-C6A86CD86684}"/>
            </c:ext>
          </c:extLst>
        </c:ser>
        <c:ser>
          <c:idx val="2"/>
          <c:order val="2"/>
          <c:tx>
            <c:strRef>
              <c:f>'pivot table'!$D$48:$D$49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table'!$A$50:$A$55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table'!$D$50:$D$55</c:f>
              <c:numCache>
                <c:formatCode>General</c:formatCode>
                <c:ptCount val="5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A2-4842-90E0-C6A86CD86684}"/>
            </c:ext>
          </c:extLst>
        </c:ser>
        <c:ser>
          <c:idx val="3"/>
          <c:order val="3"/>
          <c:tx>
            <c:strRef>
              <c:f>'pivot table'!$E$48:$E$49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table'!$A$50:$A$55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table'!$E$50:$E$55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11</c:v>
                </c:pt>
                <c:pt idx="3">
                  <c:v>16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A2-4842-90E0-C6A86CD86684}"/>
            </c:ext>
          </c:extLst>
        </c:ser>
        <c:ser>
          <c:idx val="4"/>
          <c:order val="4"/>
          <c:tx>
            <c:strRef>
              <c:f>'pivot table'!$F$48:$F$49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table'!$A$50:$A$55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table'!$F$50:$F$55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2">
                  <c:v>10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A2-4842-90E0-C6A86CD86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4375552"/>
        <c:axId val="1992578304"/>
        <c:axId val="0"/>
      </c:bar3DChart>
      <c:catAx>
        <c:axId val="199437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578304"/>
        <c:crosses val="autoZero"/>
        <c:auto val="1"/>
        <c:lblAlgn val="ctr"/>
        <c:lblOffset val="100"/>
        <c:noMultiLvlLbl val="0"/>
      </c:catAx>
      <c:valAx>
        <c:axId val="19925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7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table!PivotTable8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table'!$B$60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table'!$A$61:$A$64</c:f>
              <c:strCache>
                <c:ptCount val="3"/>
                <c:pt idx="0">
                  <c:v>Credit Card</c:v>
                </c:pt>
                <c:pt idx="1">
                  <c:v>Cash</c:v>
                </c:pt>
                <c:pt idx="2">
                  <c:v>Mobile Payment</c:v>
                </c:pt>
              </c:strCache>
            </c:strRef>
          </c:cat>
          <c:val>
            <c:numRef>
              <c:f>'pivot table'!$B$61:$B$64</c:f>
              <c:numCache>
                <c:formatCode>General</c:formatCode>
                <c:ptCount val="3"/>
                <c:pt idx="0">
                  <c:v>111</c:v>
                </c:pt>
                <c:pt idx="1">
                  <c:v>49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F-420E-B884-0D8B5D576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table!PivotTable9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table'!$B$69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table'!$A$70:$A$73</c:f>
              <c:strCache>
                <c:ptCount val="3"/>
                <c:pt idx="0">
                  <c:v>Omdurman</c:v>
                </c:pt>
                <c:pt idx="1">
                  <c:v>Bahri</c:v>
                </c:pt>
                <c:pt idx="2">
                  <c:v>Khartoum</c:v>
                </c:pt>
              </c:strCache>
            </c:strRef>
          </c:cat>
          <c:val>
            <c:numRef>
              <c:f>'pivot table'!$B$70:$B$73</c:f>
              <c:numCache>
                <c:formatCode>General</c:formatCode>
                <c:ptCount val="3"/>
                <c:pt idx="0">
                  <c:v>128811.5</c:v>
                </c:pt>
                <c:pt idx="1">
                  <c:v>113236.5</c:v>
                </c:pt>
                <c:pt idx="2">
                  <c:v>70031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A-4ABC-BC56-332885B63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table!PivotTable10</c:name>
    <c:fmtId val="1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table'!$A$79:$A$84</c:f>
              <c:strCache>
                <c:ptCount val="5"/>
                <c:pt idx="0">
                  <c:v>Shoes</c:v>
                </c:pt>
                <c:pt idx="1">
                  <c:v>Dresses</c:v>
                </c:pt>
                <c:pt idx="2">
                  <c:v>Pants</c:v>
                </c:pt>
                <c:pt idx="3">
                  <c:v>Accessories</c:v>
                </c:pt>
                <c:pt idx="4">
                  <c:v>Tops</c:v>
                </c:pt>
              </c:strCache>
            </c:strRef>
          </c:cat>
          <c:val>
            <c:numRef>
              <c:f>'pivot table'!$B$79:$B$84</c:f>
              <c:numCache>
                <c:formatCode>General</c:formatCode>
                <c:ptCount val="5"/>
                <c:pt idx="0">
                  <c:v>110540</c:v>
                </c:pt>
                <c:pt idx="1">
                  <c:v>66169.5</c:v>
                </c:pt>
                <c:pt idx="2">
                  <c:v>49459.5</c:v>
                </c:pt>
                <c:pt idx="3">
                  <c:v>44769.5</c:v>
                </c:pt>
                <c:pt idx="4">
                  <c:v>41140.5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1-4452-A495-742E3A947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3624672"/>
        <c:axId val="2123627584"/>
        <c:axId val="0"/>
      </c:bar3DChart>
      <c:catAx>
        <c:axId val="212362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27584"/>
        <c:crosses val="autoZero"/>
        <c:auto val="1"/>
        <c:lblAlgn val="ctr"/>
        <c:lblOffset val="100"/>
        <c:noMultiLvlLbl val="0"/>
      </c:catAx>
      <c:valAx>
        <c:axId val="21236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2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table!PivotTable11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table'!$B$88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table'!$A$89:$A$108</c:f>
              <c:multiLvlStrCache>
                <c:ptCount val="12"/>
                <c:lvl>
                  <c:pt idx="0">
                    <c:v>Jun</c:v>
                  </c:pt>
                  <c:pt idx="1">
                    <c:v>Jul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  <c:pt idx="7">
                    <c:v>Jan</c:v>
                  </c:pt>
                  <c:pt idx="8">
                    <c:v>Feb</c:v>
                  </c:pt>
                  <c:pt idx="9">
                    <c:v>Mar</c:v>
                  </c:pt>
                  <c:pt idx="10">
                    <c:v>Apr</c:v>
                  </c:pt>
                  <c:pt idx="11">
                    <c:v>May</c:v>
                  </c:pt>
                </c:lvl>
                <c:lvl>
                  <c:pt idx="0">
                    <c:v>Qtr2</c:v>
                  </c:pt>
                  <c:pt idx="1">
                    <c:v>Qtr3</c:v>
                  </c:pt>
                  <c:pt idx="4">
                    <c:v>Qtr4</c:v>
                  </c:pt>
                  <c:pt idx="7">
                    <c:v>Qtr1</c:v>
                  </c:pt>
                  <c:pt idx="10">
                    <c:v>Qtr2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'pivot table'!$B$89:$B$108</c:f>
              <c:numCache>
                <c:formatCode>General</c:formatCode>
                <c:ptCount val="12"/>
                <c:pt idx="0">
                  <c:v>57236.5</c:v>
                </c:pt>
                <c:pt idx="1">
                  <c:v>23234</c:v>
                </c:pt>
                <c:pt idx="2">
                  <c:v>16603</c:v>
                </c:pt>
                <c:pt idx="3">
                  <c:v>18671</c:v>
                </c:pt>
                <c:pt idx="4">
                  <c:v>19865.5</c:v>
                </c:pt>
                <c:pt idx="5">
                  <c:v>25562</c:v>
                </c:pt>
                <c:pt idx="6">
                  <c:v>20943</c:v>
                </c:pt>
                <c:pt idx="7">
                  <c:v>34610</c:v>
                </c:pt>
                <c:pt idx="8">
                  <c:v>32853</c:v>
                </c:pt>
                <c:pt idx="9">
                  <c:v>10954</c:v>
                </c:pt>
                <c:pt idx="10">
                  <c:v>42538.5</c:v>
                </c:pt>
                <c:pt idx="11">
                  <c:v>9008.5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9-494A-9A8E-7A6209588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3616768"/>
        <c:axId val="2123621760"/>
      </c:lineChart>
      <c:catAx>
        <c:axId val="212361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21760"/>
        <c:crosses val="autoZero"/>
        <c:auto val="1"/>
        <c:lblAlgn val="ctr"/>
        <c:lblOffset val="100"/>
        <c:noMultiLvlLbl val="0"/>
      </c:catAx>
      <c:valAx>
        <c:axId val="21236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1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table!PivotTable3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table'!$A$18:$A$21</c:f>
              <c:strCache>
                <c:ptCount val="3"/>
                <c:pt idx="0">
                  <c:v>Bahri</c:v>
                </c:pt>
                <c:pt idx="1">
                  <c:v>Omdurman</c:v>
                </c:pt>
                <c:pt idx="2">
                  <c:v>Khartoum</c:v>
                </c:pt>
              </c:strCache>
            </c:strRef>
          </c:cat>
          <c:val>
            <c:numRef>
              <c:f>'pivot table'!$B$18:$B$21</c:f>
              <c:numCache>
                <c:formatCode>General</c:formatCode>
                <c:ptCount val="3"/>
                <c:pt idx="0">
                  <c:v>78</c:v>
                </c:pt>
                <c:pt idx="1">
                  <c:v>66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8-42B8-A308-C44C59418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739200"/>
        <c:axId val="2110735456"/>
      </c:barChart>
      <c:catAx>
        <c:axId val="211073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35456"/>
        <c:crosses val="autoZero"/>
        <c:auto val="1"/>
        <c:lblAlgn val="ctr"/>
        <c:lblOffset val="100"/>
        <c:noMultiLvlLbl val="0"/>
      </c:catAx>
      <c:valAx>
        <c:axId val="21107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Bahri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table'!$A$27:$A$32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table'!$B$27:$B$32</c:f>
              <c:numCache>
                <c:formatCode>General</c:formatCode>
                <c:ptCount val="5"/>
                <c:pt idx="0">
                  <c:v>14</c:v>
                </c:pt>
                <c:pt idx="1">
                  <c:v>13</c:v>
                </c:pt>
                <c:pt idx="2">
                  <c:v>16</c:v>
                </c:pt>
                <c:pt idx="3">
                  <c:v>24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F-465C-93BC-2475ABD3B5B6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Khartoum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table'!$A$27:$A$32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table'!$C$27:$C$32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F-465C-93BC-2475ABD3B5B6}"/>
            </c:ext>
          </c:extLst>
        </c:ser>
        <c:ser>
          <c:idx val="2"/>
          <c:order val="2"/>
          <c:tx>
            <c:strRef>
              <c:f>'pivot table'!$D$25:$D$26</c:f>
              <c:strCache>
                <c:ptCount val="1"/>
                <c:pt idx="0">
                  <c:v>Omdurman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table'!$A$27:$A$32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table'!$D$27:$D$32</c:f>
              <c:numCache>
                <c:formatCode>General</c:formatCode>
                <c:ptCount val="5"/>
                <c:pt idx="0">
                  <c:v>15</c:v>
                </c:pt>
                <c:pt idx="1">
                  <c:v>16</c:v>
                </c:pt>
                <c:pt idx="2">
                  <c:v>13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1F-465C-93BC-2475ABD3B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737536"/>
        <c:axId val="2110730464"/>
      </c:barChart>
      <c:catAx>
        <c:axId val="21107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30464"/>
        <c:crosses val="autoZero"/>
        <c:auto val="1"/>
        <c:lblAlgn val="ctr"/>
        <c:lblOffset val="100"/>
        <c:noMultiLvlLbl val="0"/>
      </c:catAx>
      <c:valAx>
        <c:axId val="211073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table!PivotTable7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table'!$A$50:$A$55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table'!$B$50:$B$55</c:f>
              <c:numCache>
                <c:formatCode>General</c:formatCode>
                <c:ptCount val="5"/>
                <c:pt idx="0">
                  <c:v>15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1-44FA-BB54-0216824FBEB9}"/>
            </c:ext>
          </c:extLst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table'!$A$50:$A$55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table'!$C$50:$C$55</c:f>
              <c:numCache>
                <c:formatCode>General</c:formatCode>
                <c:ptCount val="5"/>
                <c:pt idx="0">
                  <c:v>9</c:v>
                </c:pt>
                <c:pt idx="1">
                  <c:v>13</c:v>
                </c:pt>
                <c:pt idx="2">
                  <c:v>7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1-44FA-BB54-0216824FBEB9}"/>
            </c:ext>
          </c:extLst>
        </c:ser>
        <c:ser>
          <c:idx val="2"/>
          <c:order val="2"/>
          <c:tx>
            <c:strRef>
              <c:f>'pivot table'!$D$48:$D$49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table'!$A$50:$A$55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table'!$D$50:$D$55</c:f>
              <c:numCache>
                <c:formatCode>General</c:formatCode>
                <c:ptCount val="5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1-44FA-BB54-0216824FBEB9}"/>
            </c:ext>
          </c:extLst>
        </c:ser>
        <c:ser>
          <c:idx val="3"/>
          <c:order val="3"/>
          <c:tx>
            <c:strRef>
              <c:f>'pivot table'!$E$48:$E$49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table'!$A$50:$A$55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table'!$E$50:$E$55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11</c:v>
                </c:pt>
                <c:pt idx="3">
                  <c:v>16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1-44FA-BB54-0216824FBEB9}"/>
            </c:ext>
          </c:extLst>
        </c:ser>
        <c:ser>
          <c:idx val="4"/>
          <c:order val="4"/>
          <c:tx>
            <c:strRef>
              <c:f>'pivot table'!$F$48:$F$49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table'!$A$50:$A$55</c:f>
              <c:strCache>
                <c:ptCount val="5"/>
                <c:pt idx="0">
                  <c:v>Accessories</c:v>
                </c:pt>
                <c:pt idx="1">
                  <c:v>Dresses</c:v>
                </c:pt>
                <c:pt idx="2">
                  <c:v>Pants</c:v>
                </c:pt>
                <c:pt idx="3">
                  <c:v>Shoes</c:v>
                </c:pt>
                <c:pt idx="4">
                  <c:v>Tops</c:v>
                </c:pt>
              </c:strCache>
            </c:strRef>
          </c:cat>
          <c:val>
            <c:numRef>
              <c:f>'pivot table'!$F$50:$F$55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2">
                  <c:v>10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F1-44FA-BB54-0216824FB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4375552"/>
        <c:axId val="1992578304"/>
        <c:axId val="0"/>
      </c:bar3DChart>
      <c:catAx>
        <c:axId val="199437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578304"/>
        <c:crosses val="autoZero"/>
        <c:auto val="1"/>
        <c:lblAlgn val="ctr"/>
        <c:lblOffset val="100"/>
        <c:noMultiLvlLbl val="0"/>
      </c:catAx>
      <c:valAx>
        <c:axId val="19925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7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table!PivotTable10</c:name>
    <c:fmtId val="1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table'!$A$79:$A$84</c:f>
              <c:strCache>
                <c:ptCount val="5"/>
                <c:pt idx="0">
                  <c:v>Shoes</c:v>
                </c:pt>
                <c:pt idx="1">
                  <c:v>Dresses</c:v>
                </c:pt>
                <c:pt idx="2">
                  <c:v>Pants</c:v>
                </c:pt>
                <c:pt idx="3">
                  <c:v>Accessories</c:v>
                </c:pt>
                <c:pt idx="4">
                  <c:v>Tops</c:v>
                </c:pt>
              </c:strCache>
            </c:strRef>
          </c:cat>
          <c:val>
            <c:numRef>
              <c:f>'pivot table'!$B$79:$B$84</c:f>
              <c:numCache>
                <c:formatCode>General</c:formatCode>
                <c:ptCount val="5"/>
                <c:pt idx="0">
                  <c:v>110540</c:v>
                </c:pt>
                <c:pt idx="1">
                  <c:v>66169.5</c:v>
                </c:pt>
                <c:pt idx="2">
                  <c:v>49459.5</c:v>
                </c:pt>
                <c:pt idx="3">
                  <c:v>44769.5</c:v>
                </c:pt>
                <c:pt idx="4">
                  <c:v>41140.5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3-41F4-8FE4-B19001D79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3624672"/>
        <c:axId val="2123627584"/>
        <c:axId val="0"/>
      </c:bar3DChart>
      <c:catAx>
        <c:axId val="212362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27584"/>
        <c:crosses val="autoZero"/>
        <c:auto val="1"/>
        <c:lblAlgn val="ctr"/>
        <c:lblOffset val="100"/>
        <c:noMultiLvlLbl val="0"/>
      </c:catAx>
      <c:valAx>
        <c:axId val="21236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2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06-4667-9421-8F4E36F886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06-4667-9421-8F4E36F886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B06-4667-9421-8F4E36F886C1}"/>
              </c:ext>
            </c:extLst>
          </c:dPt>
          <c:cat>
            <c:strRef>
              <c:f>'pivot table'!$A$61:$A$64</c:f>
              <c:strCache>
                <c:ptCount val="3"/>
                <c:pt idx="0">
                  <c:v>Credit Card</c:v>
                </c:pt>
                <c:pt idx="1">
                  <c:v>Cash</c:v>
                </c:pt>
                <c:pt idx="2">
                  <c:v>Mobile Payment</c:v>
                </c:pt>
              </c:strCache>
            </c:strRef>
          </c:cat>
          <c:val>
            <c:numRef>
              <c:f>'pivot table'!$B$61:$B$64</c:f>
              <c:numCache>
                <c:formatCode>General</c:formatCode>
                <c:ptCount val="3"/>
                <c:pt idx="0">
                  <c:v>111</c:v>
                </c:pt>
                <c:pt idx="1">
                  <c:v>49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B06-4667-9421-8F4E36F88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table!PivotTable9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table'!$B$69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8A-44C2-94A1-C7A18DA762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8A-44C2-94A1-C7A18DA762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8A-44C2-94A1-C7A18DA762DE}"/>
              </c:ext>
            </c:extLst>
          </c:dPt>
          <c:cat>
            <c:strRef>
              <c:f>'pivot table'!$A$70:$A$73</c:f>
              <c:strCache>
                <c:ptCount val="3"/>
                <c:pt idx="0">
                  <c:v>Omdurman</c:v>
                </c:pt>
                <c:pt idx="1">
                  <c:v>Bahri</c:v>
                </c:pt>
                <c:pt idx="2">
                  <c:v>Khartoum</c:v>
                </c:pt>
              </c:strCache>
            </c:strRef>
          </c:cat>
          <c:val>
            <c:numRef>
              <c:f>'pivot table'!$B$70:$B$73</c:f>
              <c:numCache>
                <c:formatCode>General</c:formatCode>
                <c:ptCount val="3"/>
                <c:pt idx="0">
                  <c:v>128811.5</c:v>
                </c:pt>
                <c:pt idx="1">
                  <c:v>113236.5</c:v>
                </c:pt>
                <c:pt idx="2">
                  <c:v>70031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8A-44C2-94A1-C7A18DA76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FOT EXCERCISE.xlsx]pivot table!PivotTable11</c:name>
    <c:fmtId val="1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table'!$B$88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table'!$A$89:$A$108</c:f>
              <c:multiLvlStrCache>
                <c:ptCount val="12"/>
                <c:lvl>
                  <c:pt idx="0">
                    <c:v>Jun</c:v>
                  </c:pt>
                  <c:pt idx="1">
                    <c:v>Jul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  <c:pt idx="7">
                    <c:v>Jan</c:v>
                  </c:pt>
                  <c:pt idx="8">
                    <c:v>Feb</c:v>
                  </c:pt>
                  <c:pt idx="9">
                    <c:v>Mar</c:v>
                  </c:pt>
                  <c:pt idx="10">
                    <c:v>Apr</c:v>
                  </c:pt>
                  <c:pt idx="11">
                    <c:v>May</c:v>
                  </c:pt>
                </c:lvl>
                <c:lvl>
                  <c:pt idx="0">
                    <c:v>Qtr2</c:v>
                  </c:pt>
                  <c:pt idx="1">
                    <c:v>Qtr3</c:v>
                  </c:pt>
                  <c:pt idx="4">
                    <c:v>Qtr4</c:v>
                  </c:pt>
                  <c:pt idx="7">
                    <c:v>Qtr1</c:v>
                  </c:pt>
                  <c:pt idx="10">
                    <c:v>Qtr2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'pivot table'!$B$89:$B$108</c:f>
              <c:numCache>
                <c:formatCode>General</c:formatCode>
                <c:ptCount val="12"/>
                <c:pt idx="0">
                  <c:v>57236.5</c:v>
                </c:pt>
                <c:pt idx="1">
                  <c:v>23234</c:v>
                </c:pt>
                <c:pt idx="2">
                  <c:v>16603</c:v>
                </c:pt>
                <c:pt idx="3">
                  <c:v>18671</c:v>
                </c:pt>
                <c:pt idx="4">
                  <c:v>19865.5</c:v>
                </c:pt>
                <c:pt idx="5">
                  <c:v>25562</c:v>
                </c:pt>
                <c:pt idx="6">
                  <c:v>20943</c:v>
                </c:pt>
                <c:pt idx="7">
                  <c:v>34610</c:v>
                </c:pt>
                <c:pt idx="8">
                  <c:v>32853</c:v>
                </c:pt>
                <c:pt idx="9">
                  <c:v>10954</c:v>
                </c:pt>
                <c:pt idx="10">
                  <c:v>42538.5</c:v>
                </c:pt>
                <c:pt idx="11">
                  <c:v>9008.5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0-4720-B1C5-1454291A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3616768"/>
        <c:axId val="2123621760"/>
      </c:lineChart>
      <c:catAx>
        <c:axId val="212361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21760"/>
        <c:crosses val="autoZero"/>
        <c:auto val="1"/>
        <c:lblAlgn val="ctr"/>
        <c:lblOffset val="100"/>
        <c:noMultiLvlLbl val="0"/>
      </c:catAx>
      <c:valAx>
        <c:axId val="21236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1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357187</xdr:colOff>
      <xdr:row>13</xdr:row>
      <xdr:rowOff>76201</xdr:rowOff>
    </xdr:from>
    <xdr:to>
      <xdr:col>7</xdr:col>
      <xdr:colOff>533400</xdr:colOff>
      <xdr:row>22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357188</xdr:colOff>
      <xdr:row>23</xdr:row>
      <xdr:rowOff>28575</xdr:rowOff>
    </xdr:from>
    <xdr:to>
      <xdr:col>12</xdr:col>
      <xdr:colOff>400051</xdr:colOff>
      <xdr:row>35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495299</xdr:colOff>
      <xdr:row>47</xdr:row>
      <xdr:rowOff>114300</xdr:rowOff>
    </xdr:from>
    <xdr:to>
      <xdr:col>13</xdr:col>
      <xdr:colOff>442911</xdr:colOff>
      <xdr:row>57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309562</xdr:colOff>
      <xdr:row>56</xdr:row>
      <xdr:rowOff>161926</xdr:rowOff>
    </xdr:from>
    <xdr:to>
      <xdr:col>6</xdr:col>
      <xdr:colOff>371475</xdr:colOff>
      <xdr:row>66</xdr:row>
      <xdr:rowOff>123825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309562</xdr:colOff>
      <xdr:row>67</xdr:row>
      <xdr:rowOff>28575</xdr:rowOff>
    </xdr:from>
    <xdr:to>
      <xdr:col>7</xdr:col>
      <xdr:colOff>438150</xdr:colOff>
      <xdr:row>78</xdr:row>
      <xdr:rowOff>19050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804862</xdr:colOff>
      <xdr:row>75</xdr:row>
      <xdr:rowOff>114300</xdr:rowOff>
    </xdr:from>
    <xdr:to>
      <xdr:col>8</xdr:col>
      <xdr:colOff>638175</xdr:colOff>
      <xdr:row>87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433387</xdr:colOff>
      <xdr:row>90</xdr:row>
      <xdr:rowOff>66675</xdr:rowOff>
    </xdr:from>
    <xdr:to>
      <xdr:col>9</xdr:col>
      <xdr:colOff>433387</xdr:colOff>
      <xdr:row>104</xdr:row>
      <xdr:rowOff>142875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354853</xdr:colOff>
      <xdr:row>2</xdr:row>
      <xdr:rowOff>95248</xdr:rowOff>
    </xdr:from>
    <xdr:to>
      <xdr:col>20</xdr:col>
      <xdr:colOff>541618</xdr:colOff>
      <xdr:row>52</xdr:row>
      <xdr:rowOff>57149</xdr:rowOff>
    </xdr:to>
    <xdr:sp macro="" textlink="">
      <xdr:nvSpPr>
        <xdr:cNvPr id="2" name="Rectangle 1"/>
        <xdr:cNvSpPr/>
      </xdr:nvSpPr>
      <xdr:spPr>
        <a:xfrm>
          <a:off x="971177" y="468777"/>
          <a:ext cx="11896912" cy="9300137"/>
        </a:xfrm>
        <a:prstGeom prst="rect">
          <a:avLst/>
        </a:prstGeom>
        <a:gradFill flip="none" rotWithShape="1">
          <a:gsLst>
            <a:gs pos="0">
              <a:schemeClr val="accent6">
                <a:lumMod val="50000"/>
                <a:shade val="30000"/>
                <a:satMod val="115000"/>
              </a:schemeClr>
            </a:gs>
            <a:gs pos="50000">
              <a:schemeClr val="accent6">
                <a:lumMod val="50000"/>
                <a:shade val="67500"/>
                <a:satMod val="115000"/>
              </a:schemeClr>
            </a:gs>
            <a:gs pos="100000">
              <a:schemeClr val="accent6">
                <a:lumMod val="50000"/>
                <a:shade val="100000"/>
                <a:satMod val="115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61632</xdr:colOff>
      <xdr:row>3</xdr:row>
      <xdr:rowOff>56777</xdr:rowOff>
    </xdr:from>
    <xdr:to>
      <xdr:col>13</xdr:col>
      <xdr:colOff>242606</xdr:colOff>
      <xdr:row>5</xdr:row>
      <xdr:rowOff>113927</xdr:rowOff>
    </xdr:to>
    <xdr:sp macro="" textlink="">
      <xdr:nvSpPr>
        <xdr:cNvPr id="3" name="Rectangle 2"/>
        <xdr:cNvSpPr/>
      </xdr:nvSpPr>
      <xdr:spPr>
        <a:xfrm>
          <a:off x="6224867" y="617071"/>
          <a:ext cx="2029945" cy="43068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Weam's</a:t>
          </a:r>
          <a:r>
            <a:rPr lang="en-US" sz="1600" b="1" baseline="0">
              <a:solidFill>
                <a:schemeClr val="tx1"/>
              </a:solidFill>
            </a:rPr>
            <a:t> Store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469154</xdr:colOff>
      <xdr:row>6</xdr:row>
      <xdr:rowOff>20544</xdr:rowOff>
    </xdr:from>
    <xdr:to>
      <xdr:col>10</xdr:col>
      <xdr:colOff>81430</xdr:colOff>
      <xdr:row>9</xdr:row>
      <xdr:rowOff>106269</xdr:rowOff>
    </xdr:to>
    <xdr:sp macro="" textlink="">
      <xdr:nvSpPr>
        <xdr:cNvPr id="4" name="Rectangle 3"/>
        <xdr:cNvSpPr/>
      </xdr:nvSpPr>
      <xdr:spPr>
        <a:xfrm>
          <a:off x="4167095" y="1141132"/>
          <a:ext cx="2077570" cy="646019"/>
        </a:xfrm>
        <a:prstGeom prst="rect">
          <a:avLst/>
        </a:prstGeom>
        <a:gradFill flip="none" rotWithShape="1">
          <a:gsLst>
            <a:gs pos="0">
              <a:schemeClr val="accent2">
                <a:lumMod val="60000"/>
                <a:lumOff val="40000"/>
                <a:tint val="66000"/>
                <a:satMod val="160000"/>
              </a:schemeClr>
            </a:gs>
            <a:gs pos="50000">
              <a:schemeClr val="accent2">
                <a:lumMod val="60000"/>
                <a:lumOff val="40000"/>
                <a:tint val="44500"/>
                <a:satMod val="160000"/>
              </a:schemeClr>
            </a:gs>
            <a:gs pos="100000">
              <a:schemeClr val="accent2">
                <a:lumMod val="60000"/>
                <a:lumOff val="40000"/>
                <a:tint val="23500"/>
                <a:satMod val="160000"/>
              </a:schemeClr>
            </a:gs>
          </a:gsLst>
          <a:lin ang="16200000" scaled="1"/>
          <a:tileRect/>
        </a:gra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1"/>
              </a:solidFill>
            </a:rPr>
            <a:t>Total</a:t>
          </a:r>
          <a:r>
            <a:rPr lang="en-US" sz="1400" b="1" baseline="0">
              <a:solidFill>
                <a:schemeClr val="tx1"/>
              </a:solidFill>
            </a:rPr>
            <a:t> Order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80309</xdr:colOff>
      <xdr:row>6</xdr:row>
      <xdr:rowOff>1121</xdr:rowOff>
    </xdr:from>
    <xdr:to>
      <xdr:col>16</xdr:col>
      <xdr:colOff>308909</xdr:colOff>
      <xdr:row>9</xdr:row>
      <xdr:rowOff>86846</xdr:rowOff>
    </xdr:to>
    <xdr:sp macro="" textlink="">
      <xdr:nvSpPr>
        <xdr:cNvPr id="10" name="Rectangle 9"/>
        <xdr:cNvSpPr/>
      </xdr:nvSpPr>
      <xdr:spPr>
        <a:xfrm>
          <a:off x="8092515" y="1121709"/>
          <a:ext cx="2077570" cy="646019"/>
        </a:xfrm>
        <a:prstGeom prst="rect">
          <a:avLst/>
        </a:prstGeom>
        <a:gradFill flip="none" rotWithShape="1">
          <a:gsLst>
            <a:gs pos="0">
              <a:schemeClr val="accent2">
                <a:lumMod val="60000"/>
                <a:lumOff val="40000"/>
                <a:tint val="66000"/>
                <a:satMod val="160000"/>
              </a:schemeClr>
            </a:gs>
            <a:gs pos="50000">
              <a:schemeClr val="accent2">
                <a:lumMod val="60000"/>
                <a:lumOff val="40000"/>
                <a:tint val="44500"/>
                <a:satMod val="160000"/>
              </a:schemeClr>
            </a:gs>
            <a:gs pos="100000">
              <a:schemeClr val="accent2">
                <a:lumMod val="60000"/>
                <a:lumOff val="40000"/>
                <a:tint val="23500"/>
                <a:satMod val="160000"/>
              </a:schemeClr>
            </a:gs>
          </a:gsLst>
          <a:lin ang="16200000" scaled="1"/>
          <a:tileRect/>
        </a:gra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1"/>
              </a:solidFill>
            </a:rPr>
            <a:t>Total</a:t>
          </a:r>
          <a:r>
            <a:rPr lang="en-US" sz="1400" b="1" baseline="0">
              <a:solidFill>
                <a:schemeClr val="tx1"/>
              </a:solidFill>
            </a:rPr>
            <a:t> revenue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600634</xdr:colOff>
      <xdr:row>8</xdr:row>
      <xdr:rowOff>49493</xdr:rowOff>
    </xdr:from>
    <xdr:to>
      <xdr:col>9</xdr:col>
      <xdr:colOff>12886</xdr:colOff>
      <xdr:row>9</xdr:row>
      <xdr:rowOff>87593</xdr:rowOff>
    </xdr:to>
    <xdr:sp macro="" textlink="">
      <xdr:nvSpPr>
        <xdr:cNvPr id="11" name="Rectangle 10"/>
        <xdr:cNvSpPr/>
      </xdr:nvSpPr>
      <xdr:spPr>
        <a:xfrm>
          <a:off x="4914899" y="1543611"/>
          <a:ext cx="644899" cy="224864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206</a:t>
          </a:r>
        </a:p>
      </xdr:txBody>
    </xdr:sp>
    <xdr:clientData/>
  </xdr:twoCellAnchor>
  <xdr:twoCellAnchor>
    <xdr:from>
      <xdr:col>14</xdr:col>
      <xdr:colOff>202640</xdr:colOff>
      <xdr:row>8</xdr:row>
      <xdr:rowOff>48745</xdr:rowOff>
    </xdr:from>
    <xdr:to>
      <xdr:col>15</xdr:col>
      <xdr:colOff>231215</xdr:colOff>
      <xdr:row>9</xdr:row>
      <xdr:rowOff>86845</xdr:rowOff>
    </xdr:to>
    <xdr:sp macro="" textlink="">
      <xdr:nvSpPr>
        <xdr:cNvPr id="12" name="Rectangle 11"/>
        <xdr:cNvSpPr/>
      </xdr:nvSpPr>
      <xdr:spPr>
        <a:xfrm>
          <a:off x="8831169" y="1542863"/>
          <a:ext cx="644899" cy="224864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312079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200025</xdr:colOff>
      <xdr:row>10</xdr:row>
      <xdr:rowOff>171448</xdr:rowOff>
    </xdr:from>
    <xdr:to>
      <xdr:col>8</xdr:col>
      <xdr:colOff>4763</xdr:colOff>
      <xdr:row>22</xdr:row>
      <xdr:rowOff>190499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10</xdr:row>
      <xdr:rowOff>180974</xdr:rowOff>
    </xdr:from>
    <xdr:to>
      <xdr:col>14</xdr:col>
      <xdr:colOff>204788</xdr:colOff>
      <xdr:row>23</xdr:row>
      <xdr:rowOff>28574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190500</xdr:colOff>
      <xdr:row>24</xdr:row>
      <xdr:rowOff>28574</xdr:rowOff>
    </xdr:from>
    <xdr:to>
      <xdr:col>14</xdr:col>
      <xdr:colOff>242887</xdr:colOff>
      <xdr:row>35</xdr:row>
      <xdr:rowOff>95250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161925</xdr:colOff>
      <xdr:row>23</xdr:row>
      <xdr:rowOff>190499</xdr:rowOff>
    </xdr:from>
    <xdr:to>
      <xdr:col>8</xdr:col>
      <xdr:colOff>19050</xdr:colOff>
      <xdr:row>35</xdr:row>
      <xdr:rowOff>133349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438149</xdr:colOff>
      <xdr:row>10</xdr:row>
      <xdr:rowOff>171449</xdr:rowOff>
    </xdr:from>
    <xdr:to>
      <xdr:col>20</xdr:col>
      <xdr:colOff>9525</xdr:colOff>
      <xdr:row>23</xdr:row>
      <xdr:rowOff>38100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466725</xdr:colOff>
      <xdr:row>24</xdr:row>
      <xdr:rowOff>38099</xdr:rowOff>
    </xdr:from>
    <xdr:to>
      <xdr:col>20</xdr:col>
      <xdr:colOff>57151</xdr:colOff>
      <xdr:row>35</xdr:row>
      <xdr:rowOff>95250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161923</xdr:colOff>
      <xdr:row>36</xdr:row>
      <xdr:rowOff>57149</xdr:rowOff>
    </xdr:from>
    <xdr:to>
      <xdr:col>20</xdr:col>
      <xdr:colOff>47625</xdr:colOff>
      <xdr:row>50</xdr:row>
      <xdr:rowOff>133349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1" refreshedDate="46180.422854629629" createdVersion="6" refreshedVersion="6" minRefreshableVersion="3" recordCount="206">
  <cacheSource type="worksheet">
    <worksheetSource ref="A1:N207" sheet="working data"/>
  </cacheSource>
  <cacheFields count="16">
    <cacheField name="Invoice_ID" numFmtId="0">
      <sharedItems count="190">
        <s v="INV3068"/>
        <s v="INV1534"/>
        <s v="INV2654"/>
        <s v="INV6781"/>
        <s v="INV7371"/>
        <s v="INV8298"/>
        <s v="INV1058"/>
        <s v="INV2743"/>
        <s v="INV6107"/>
        <s v="INV3245"/>
        <s v="INV3584"/>
        <s v="INV9233"/>
        <s v="INV6222"/>
        <s v="INV8692"/>
        <s v="INV1025"/>
        <s v="INV8784"/>
        <s v="INV6315"/>
        <s v="INV1762"/>
        <s v="INV6123"/>
        <s v="INV1096"/>
        <s v="INV5668"/>
        <s v="INV3546"/>
        <s v="INV2288"/>
        <s v="INV1387"/>
        <s v="INV5065"/>
        <s v="INV4673"/>
        <s v="INV5386"/>
        <s v="INV3060"/>
        <s v="INV6995"/>
        <s v="INV7658"/>
        <s v="INV1536"/>
        <s v="INV3803"/>
        <s v="INV2101"/>
        <s v="INV3547"/>
        <s v="INV8702"/>
        <s v="INV2291"/>
        <s v="INV8792"/>
        <s v="INV4608"/>
        <s v="INV5952"/>
        <s v="INV1200"/>
        <s v="INV7525"/>
        <s v="INV1402"/>
        <s v="INV3001"/>
        <s v="INV7161"/>
        <s v="INV9998"/>
        <s v="INV4968"/>
        <s v="INV1510"/>
        <s v="INV7142"/>
        <s v="INV4984"/>
        <s v="INV8398"/>
        <s v="INV9797"/>
        <s v="INV7684"/>
        <s v="INV8043"/>
        <s v="INV2771"/>
        <s v="INV2753"/>
        <s v="INV1018"/>
        <s v="INV2946"/>
        <s v="INV6400"/>
        <s v="INV8361"/>
        <s v="INV5022"/>
        <s v="INV8022"/>
        <s v="INV9442"/>
        <s v="INV2020"/>
        <s v="INV6269"/>
        <s v="INV4457"/>
        <s v="INV6848"/>
        <s v="INV6447"/>
        <s v="INV4214"/>
        <s v="INV9972"/>
        <s v="INV5961"/>
        <s v="INV8993"/>
        <s v="INV4396"/>
        <s v="INV1341"/>
        <s v="INV1319"/>
        <s v="INV3621"/>
        <s v="INV9038"/>
        <s v="INV3248"/>
        <s v="INV9984"/>
        <s v="INV3255"/>
        <s v="INV9079"/>
        <s v="INV5264"/>
        <s v="INV9565"/>
        <s v="INV6067"/>
        <s v="INV4804"/>
        <s v="INV6417"/>
        <s v="INV2388"/>
        <s v="INV3756"/>
        <s v="INV6666"/>
        <s v="INV2773"/>
        <s v="INV4289"/>
        <s v="INV9279"/>
        <s v="INV2035"/>
        <s v="INV7333"/>
        <s v="INV8752"/>
        <s v="INV5419"/>
        <s v="INV8178"/>
        <s v="INV4271"/>
        <s v="INV4585"/>
        <s v="INV8770"/>
        <s v="INV3807"/>
        <s v="INV5450"/>
        <s v="INV3973"/>
        <s v="INV2824"/>
        <s v="INV2684"/>
        <s v="INV4328"/>
        <s v="INV5381"/>
        <s v="INV9320"/>
        <s v="INV6517"/>
        <s v="INV9540"/>
        <s v="INV5390"/>
        <s v="INV4376"/>
        <s v="INV8739"/>
        <s v="INV9138"/>
        <s v="INV6697"/>
        <s v="INV5563"/>
        <s v="INV2880"/>
        <s v="INV6253"/>
        <s v="INV3868"/>
        <s v="INV6511"/>
        <s v="INV2211"/>
        <s v="INV4422"/>
        <s v="INV6793"/>
        <s v="INV9488"/>
        <s v="INV9151"/>
        <s v="INV2213"/>
        <s v="INV1887"/>
        <s v="INV2514"/>
        <s v="INV1151"/>
        <s v="INV1422"/>
        <s v="INV1939"/>
        <s v="INV5102"/>
        <s v="INV5295"/>
        <s v="INV5634"/>
        <s v="INV6236"/>
        <s v="INV7232"/>
        <s v="INV4111"/>
        <s v="INV4538"/>
        <s v="INV1606"/>
        <s v="INV6573"/>
        <s v="INV3037"/>
        <s v="INV8642"/>
        <s v="INV2747"/>
        <s v="INV3218"/>
        <s v="INV1590"/>
        <s v="INV5920"/>
        <s v="INV1502"/>
        <s v="INV3222"/>
        <s v="INV3953"/>
        <s v="INV1616"/>
        <s v="INV5906"/>
        <s v="INV7878"/>
        <s v="INV3399"/>
        <s v="INV1436"/>
        <s v="INV7214"/>
        <s v="INV5949"/>
        <s v="INV7797"/>
        <s v="INV5232"/>
        <s v="INV4637"/>
        <s v="INV9476"/>
        <s v="INV4937"/>
        <s v="INV9779"/>
        <s v="INV8673"/>
        <s v="INV5067"/>
        <s v="INV5807"/>
        <s v="INV3858"/>
        <s v="INV2983"/>
        <s v="INV2041"/>
        <s v="INV6272"/>
        <s v="INV8736"/>
        <s v="INV4434"/>
        <s v="INV5930"/>
        <s v="INV8206"/>
        <s v="INV3419"/>
        <s v="INV9698"/>
        <s v="INV9564"/>
        <s v="INV1944"/>
        <s v="INV3295"/>
        <s v="INV9270"/>
        <s v="INV1086"/>
        <s v="INV6372"/>
        <s v="INV6804"/>
        <s v="INV9117"/>
        <s v="INV6934"/>
        <s v="INV3252"/>
        <s v="INV9830"/>
        <s v="INV6295"/>
        <s v="INV5712"/>
        <s v="INV2341"/>
        <s v="INV8508"/>
        <s v="INV3167"/>
      </sharedItems>
    </cacheField>
    <cacheField name="Date" numFmtId="14">
      <sharedItems containsSemiMixedTypes="0" containsNonDate="0" containsDate="1" containsString="0" minDate="2024-06-02T00:00:00" maxDate="2025-05-31T00:00:00" count="149">
        <d v="2024-10-03T00:00:00"/>
        <d v="2025-02-04T00:00:00"/>
        <d v="2024-11-20T00:00:00"/>
        <d v="2025-05-09T00:00:00"/>
        <d v="2024-12-12T00:00:00"/>
        <d v="2025-05-05T00:00:00"/>
        <d v="2024-12-14T00:00:00"/>
        <d v="2024-07-17T00:00:00"/>
        <d v="2024-11-10T00:00:00"/>
        <d v="2024-06-02T00:00:00"/>
        <d v="2024-10-21T00:00:00"/>
        <d v="2024-06-07T00:00:00"/>
        <d v="2024-06-11T00:00:00"/>
        <d v="2025-01-18T00:00:00"/>
        <d v="2024-07-23T00:00:00"/>
        <d v="2024-07-25T00:00:00"/>
        <d v="2024-11-17T00:00:00"/>
        <d v="2025-04-25T00:00:00"/>
        <d v="2025-02-25T00:00:00"/>
        <d v="2024-12-04T00:00:00"/>
        <d v="2024-10-16T00:00:00"/>
        <d v="2025-01-14T00:00:00"/>
        <d v="2024-11-12T00:00:00"/>
        <d v="2024-06-30T00:00:00"/>
        <d v="2025-01-17T00:00:00"/>
        <d v="2025-04-01T00:00:00"/>
        <d v="2025-04-30T00:00:00"/>
        <d v="2025-03-29T00:00:00"/>
        <d v="2025-05-10T00:00:00"/>
        <d v="2024-09-27T00:00:00"/>
        <d v="2024-06-14T00:00:00"/>
        <d v="2024-09-02T00:00:00"/>
        <d v="2025-02-02T00:00:00"/>
        <d v="2025-02-12T00:00:00"/>
        <d v="2025-05-11T00:00:00"/>
        <d v="2024-08-24T00:00:00"/>
        <d v="2024-09-19T00:00:00"/>
        <d v="2025-05-30T00:00:00"/>
        <d v="2025-05-26T00:00:00"/>
        <d v="2024-08-13T00:00:00"/>
        <d v="2025-04-24T00:00:00"/>
        <d v="2024-09-28T00:00:00"/>
        <d v="2024-10-13T00:00:00"/>
        <d v="2025-01-10T00:00:00"/>
        <d v="2025-03-27T00:00:00"/>
        <d v="2025-05-17T00:00:00"/>
        <d v="2025-05-02T00:00:00"/>
        <d v="2025-02-08T00:00:00"/>
        <d v="2025-02-06T00:00:00"/>
        <d v="2025-04-16T00:00:00"/>
        <d v="2025-04-07T00:00:00"/>
        <d v="2024-08-10T00:00:00"/>
        <d v="2025-04-14T00:00:00"/>
        <d v="2024-07-01T00:00:00"/>
        <d v="2024-12-30T00:00:00"/>
        <d v="2024-09-13T00:00:00"/>
        <d v="2025-04-19T00:00:00"/>
        <d v="2025-03-25T00:00:00"/>
        <d v="2024-12-17T00:00:00"/>
        <d v="2024-06-06T00:00:00"/>
        <d v="2025-01-09T00:00:00"/>
        <d v="2025-03-26T00:00:00"/>
        <d v="2024-12-16T00:00:00"/>
        <d v="2024-09-17T00:00:00"/>
        <d v="2025-05-25T00:00:00"/>
        <d v="2024-12-18T00:00:00"/>
        <d v="2025-04-06T00:00:00"/>
        <d v="2024-06-19T00:00:00"/>
        <d v="2025-01-23T00:00:00"/>
        <d v="2024-06-03T00:00:00"/>
        <d v="2024-09-04T00:00:00"/>
        <d v="2025-03-20T00:00:00"/>
        <d v="2024-12-23T00:00:00"/>
        <d v="2024-11-11T00:00:00"/>
        <d v="2025-03-11T00:00:00"/>
        <d v="2024-12-26T00:00:00"/>
        <d v="2025-05-06T00:00:00"/>
        <d v="2024-12-05T00:00:00"/>
        <d v="2024-07-29T00:00:00"/>
        <d v="2024-07-12T00:00:00"/>
        <d v="2025-01-08T00:00:00"/>
        <d v="2025-03-08T00:00:00"/>
        <d v="2024-10-04T00:00:00"/>
        <d v="2025-04-11T00:00:00"/>
        <d v="2024-07-28T00:00:00"/>
        <d v="2025-03-04T00:00:00"/>
        <d v="2025-04-29T00:00:00"/>
        <d v="2025-04-21T00:00:00"/>
        <d v="2025-03-24T00:00:00"/>
        <d v="2024-08-07T00:00:00"/>
        <d v="2025-05-21T00:00:00"/>
        <d v="2024-12-03T00:00:00"/>
        <d v="2024-11-25T00:00:00"/>
        <d v="2025-05-19T00:00:00"/>
        <d v="2025-04-22T00:00:00"/>
        <d v="2024-07-21T00:00:00"/>
        <d v="2025-02-09T00:00:00"/>
        <d v="2025-03-16T00:00:00"/>
        <d v="2025-04-12T00:00:00"/>
        <d v="2025-01-07T00:00:00"/>
        <d v="2025-04-03T00:00:00"/>
        <d v="2024-10-09T00:00:00"/>
        <d v="2024-08-28T00:00:00"/>
        <d v="2025-04-23T00:00:00"/>
        <d v="2024-09-16T00:00:00"/>
        <d v="2024-06-27T00:00:00"/>
        <d v="2024-11-26T00:00:00"/>
        <d v="2024-08-11T00:00:00"/>
        <d v="2024-06-23T00:00:00"/>
        <d v="2024-09-01T00:00:00"/>
        <d v="2025-01-01T00:00:00"/>
        <d v="2025-05-20T00:00:00"/>
        <d v="2024-06-26T00:00:00"/>
        <d v="2024-10-15T00:00:00"/>
        <d v="2025-01-02T00:00:00"/>
        <d v="2025-03-30T00:00:00"/>
        <d v="2024-07-27T00:00:00"/>
        <d v="2025-02-01T00:00:00"/>
        <d v="2024-07-09T00:00:00"/>
        <d v="2025-04-17T00:00:00"/>
        <d v="2024-11-16T00:00:00"/>
        <d v="2025-02-13T00:00:00"/>
        <d v="2025-05-04T00:00:00"/>
        <d v="2024-07-10T00:00:00"/>
        <d v="2025-01-05T00:00:00"/>
        <d v="2024-08-01T00:00:00"/>
        <d v="2025-02-05T00:00:00"/>
        <d v="2024-11-06T00:00:00"/>
        <d v="2024-12-10T00:00:00"/>
        <d v="2024-09-14T00:00:00"/>
        <d v="2024-12-08T00:00:00"/>
        <d v="2025-02-19T00:00:00"/>
        <d v="2024-08-17T00:00:00"/>
        <d v="2024-10-02T00:00:00"/>
        <d v="2025-02-26T00:00:00"/>
        <d v="2025-01-29T00:00:00"/>
        <d v="2024-11-07T00:00:00"/>
        <d v="2024-08-19T00:00:00"/>
        <d v="2024-09-18T00:00:00"/>
        <d v="2024-10-27T00:00:00"/>
        <d v="2024-06-29T00:00:00"/>
        <d v="2024-06-21T00:00:00"/>
        <d v="2024-06-05T00:00:00"/>
        <d v="2025-01-06T00:00:00"/>
        <d v="2024-07-15T00:00:00"/>
        <d v="2025-01-19T00:00:00"/>
        <d v="2024-10-05T00:00:00"/>
        <d v="2024-07-19T00:00:00"/>
        <d v="2024-08-14T00:00:00"/>
      </sharedItems>
      <fieldGroup par="15" base="1">
        <rangePr groupBy="months" startDate="2024-06-02T00:00:00" endDate="2025-05-31T00:00:00"/>
        <groupItems count="14">
          <s v="&lt;6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1/2025"/>
        </groupItems>
      </fieldGroup>
    </cacheField>
    <cacheField name="Customer_ID" numFmtId="0">
      <sharedItems/>
    </cacheField>
    <cacheField name="Cleaned Product_category" numFmtId="0">
      <sharedItems count="5">
        <s v="Shoes"/>
        <s v="Pants"/>
        <s v="Dresses"/>
        <s v="Accessories"/>
        <s v="Tops"/>
      </sharedItems>
    </cacheField>
    <cacheField name="Product_Name" numFmtId="49">
      <sharedItems count="16">
        <s v="Sneakers"/>
        <s v="Heels"/>
        <s v="Jeans"/>
        <s v="Flats"/>
        <s v="Summer Dress"/>
        <s v="Maxi Dress"/>
        <s v="Necklace"/>
        <s v="Bracelet"/>
        <s v="Leggings"/>
        <s v="T-shirt"/>
        <s v="Tank Top"/>
        <s v="Scarf"/>
        <s v="Trousers"/>
        <s v="Evening Dress"/>
        <s v="Blouse"/>
        <s v="Sweater"/>
      </sharedItems>
    </cacheField>
    <cacheField name="Size" numFmtId="0">
      <sharedItems/>
    </cacheField>
    <cacheField name="Color" numFmtId="49">
      <sharedItems count="5">
        <s v="Blue"/>
        <s v="Red"/>
        <s v="Green"/>
        <s v="Black"/>
        <s v="White"/>
      </sharedItems>
    </cacheField>
    <cacheField name="Quantity" numFmtId="1">
      <sharedItems containsSemiMixedTypes="0" containsString="0" containsNumber="1" containsInteger="1" minValue="1" maxValue="100"/>
    </cacheField>
    <cacheField name="Quantity_Level" numFmtId="1">
      <sharedItems/>
    </cacheField>
    <cacheField name="Price" numFmtId="2">
      <sharedItems containsSemiMixedTypes="0" containsString="0" containsNumber="1" minValue="50" maxValue="100"/>
    </cacheField>
    <cacheField name="Total_Sales" numFmtId="2">
      <sharedItems containsSemiMixedTypes="0" containsString="0" containsNumber="1" minValue="50" maxValue="10000"/>
    </cacheField>
    <cacheField name="Ticket" numFmtId="2">
      <sharedItems/>
    </cacheField>
    <cacheField name="Payment_Method" numFmtId="49">
      <sharedItems count="4">
        <s v="Credit Card"/>
        <s v="Cash"/>
        <s v="Mobile Payment"/>
        <s v="Credi Card" u="1"/>
      </sharedItems>
    </cacheField>
    <cacheField name="Store_Location" numFmtId="49">
      <sharedItems count="3">
        <s v="Bahri"/>
        <s v="Omdurman"/>
        <s v="Khartoum"/>
      </sharedItems>
    </cacheField>
    <cacheField name="Quarters" numFmtId="0" databaseField="0">
      <fieldGroup base="1">
        <rangePr groupBy="quarters" startDate="2024-06-02T00:00:00" endDate="2025-05-31T00:00:00"/>
        <groupItems count="6">
          <s v="&lt;6/2/2024"/>
          <s v="Qtr1"/>
          <s v="Qtr2"/>
          <s v="Qtr3"/>
          <s v="Qtr4"/>
          <s v="&gt;5/31/2025"/>
        </groupItems>
      </fieldGroup>
    </cacheField>
    <cacheField name="Years" numFmtId="0" databaseField="0">
      <fieldGroup base="1">
        <rangePr groupBy="years" startDate="2024-06-02T00:00:00" endDate="2025-05-31T00:00:00"/>
        <groupItems count="4">
          <s v="&lt;6/2/2024"/>
          <s v="2024"/>
          <s v="2025"/>
          <s v="&gt;5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6">
  <r>
    <x v="0"/>
    <x v="0"/>
    <s v="CUST323"/>
    <x v="0"/>
    <x v="0"/>
    <s v="Mediam"/>
    <x v="0"/>
    <n v="5"/>
    <s v="Small"/>
    <n v="100"/>
    <n v="500"/>
    <s v="Low-Ticket"/>
    <x v="0"/>
    <x v="0"/>
  </r>
  <r>
    <x v="1"/>
    <x v="1"/>
    <s v="CUST819"/>
    <x v="0"/>
    <x v="1"/>
    <s v="Small"/>
    <x v="0"/>
    <n v="100"/>
    <s v="Big"/>
    <n v="80"/>
    <n v="8000"/>
    <s v="High-Ticket"/>
    <x v="0"/>
    <x v="0"/>
  </r>
  <r>
    <x v="2"/>
    <x v="2"/>
    <s v="CUST954"/>
    <x v="1"/>
    <x v="2"/>
    <s v="Mediam"/>
    <x v="0"/>
    <n v="3"/>
    <s v="Small"/>
    <n v="100"/>
    <n v="300"/>
    <s v="Low-Ticket"/>
    <x v="1"/>
    <x v="1"/>
  </r>
  <r>
    <x v="3"/>
    <x v="3"/>
    <s v="CUST711"/>
    <x v="0"/>
    <x v="3"/>
    <s v="XLarge"/>
    <x v="1"/>
    <n v="4"/>
    <s v="Small"/>
    <n v="75.5"/>
    <n v="302"/>
    <s v="Low-Ticket"/>
    <x v="2"/>
    <x v="0"/>
  </r>
  <r>
    <x v="4"/>
    <x v="4"/>
    <s v="CUST514"/>
    <x v="2"/>
    <x v="4"/>
    <s v="Small"/>
    <x v="2"/>
    <n v="4"/>
    <s v="Small"/>
    <n v="80"/>
    <n v="320"/>
    <s v="Low-Ticket"/>
    <x v="1"/>
    <x v="2"/>
  </r>
  <r>
    <x v="5"/>
    <x v="5"/>
    <s v="CUST525"/>
    <x v="0"/>
    <x v="0"/>
    <s v="XSmall"/>
    <x v="2"/>
    <n v="3"/>
    <s v="Small"/>
    <n v="100"/>
    <n v="300"/>
    <s v="Low-Ticket"/>
    <x v="2"/>
    <x v="2"/>
  </r>
  <r>
    <x v="6"/>
    <x v="6"/>
    <s v="CUST368"/>
    <x v="2"/>
    <x v="5"/>
    <s v="Large"/>
    <x v="2"/>
    <n v="5"/>
    <s v="Small"/>
    <n v="50"/>
    <n v="250"/>
    <s v="Low-Ticket"/>
    <x v="0"/>
    <x v="1"/>
  </r>
  <r>
    <x v="7"/>
    <x v="7"/>
    <s v="CUST619"/>
    <x v="3"/>
    <x v="6"/>
    <s v="Small"/>
    <x v="0"/>
    <n v="5"/>
    <s v="Small"/>
    <n v="80"/>
    <n v="400"/>
    <s v="Low-Ticket"/>
    <x v="2"/>
    <x v="0"/>
  </r>
  <r>
    <x v="8"/>
    <x v="8"/>
    <s v="CUST548"/>
    <x v="3"/>
    <x v="7"/>
    <s v="XSmall"/>
    <x v="3"/>
    <n v="3"/>
    <s v="Small"/>
    <n v="50"/>
    <n v="150"/>
    <s v="Low-Ticket"/>
    <x v="0"/>
    <x v="1"/>
  </r>
  <r>
    <x v="9"/>
    <x v="9"/>
    <s v="CUST631"/>
    <x v="0"/>
    <x v="1"/>
    <s v="XLarge"/>
    <x v="2"/>
    <n v="5"/>
    <s v="Small"/>
    <n v="100"/>
    <n v="500"/>
    <s v="Low-Ticket"/>
    <x v="2"/>
    <x v="1"/>
  </r>
  <r>
    <x v="10"/>
    <x v="10"/>
    <s v="CUST726"/>
    <x v="3"/>
    <x v="6"/>
    <s v="XLarge"/>
    <x v="0"/>
    <n v="1"/>
    <s v="Small"/>
    <n v="75.5"/>
    <n v="75.5"/>
    <s v="Low-Ticket"/>
    <x v="1"/>
    <x v="1"/>
  </r>
  <r>
    <x v="11"/>
    <x v="11"/>
    <s v="CUST754"/>
    <x v="1"/>
    <x v="8"/>
    <s v="XLarge"/>
    <x v="3"/>
    <n v="2"/>
    <s v="Small"/>
    <n v="50"/>
    <n v="100"/>
    <s v="Low-Ticket"/>
    <x v="2"/>
    <x v="0"/>
  </r>
  <r>
    <x v="12"/>
    <x v="12"/>
    <s v="CUST407"/>
    <x v="0"/>
    <x v="1"/>
    <s v="XLarge"/>
    <x v="4"/>
    <n v="2"/>
    <s v="Small"/>
    <n v="100"/>
    <n v="200"/>
    <s v="Low-Ticket"/>
    <x v="0"/>
    <x v="0"/>
  </r>
  <r>
    <x v="13"/>
    <x v="13"/>
    <s v="CUST507"/>
    <x v="4"/>
    <x v="9"/>
    <s v="XLarge"/>
    <x v="4"/>
    <n v="100"/>
    <s v="Big"/>
    <n v="100"/>
    <n v="10000"/>
    <s v="High-Ticket"/>
    <x v="0"/>
    <x v="1"/>
  </r>
  <r>
    <x v="14"/>
    <x v="14"/>
    <s v="CUST526"/>
    <x v="2"/>
    <x v="5"/>
    <s v="XSmall"/>
    <x v="2"/>
    <n v="1"/>
    <s v="Small"/>
    <n v="80"/>
    <n v="80"/>
    <s v="Low-Ticket"/>
    <x v="1"/>
    <x v="0"/>
  </r>
  <r>
    <x v="15"/>
    <x v="15"/>
    <s v="CUST744"/>
    <x v="3"/>
    <x v="6"/>
    <s v="Large"/>
    <x v="4"/>
    <n v="2"/>
    <s v="Small"/>
    <n v="100"/>
    <n v="200"/>
    <s v="Low-Ticket"/>
    <x v="1"/>
    <x v="0"/>
  </r>
  <r>
    <x v="16"/>
    <x v="16"/>
    <s v="CUST497"/>
    <x v="4"/>
    <x v="10"/>
    <s v="XLarge"/>
    <x v="2"/>
    <n v="4"/>
    <s v="Small"/>
    <n v="75.5"/>
    <n v="302"/>
    <s v="Low-Ticket"/>
    <x v="2"/>
    <x v="0"/>
  </r>
  <r>
    <x v="17"/>
    <x v="17"/>
    <s v="CUST656"/>
    <x v="3"/>
    <x v="11"/>
    <s v="XSmall"/>
    <x v="3"/>
    <n v="3"/>
    <s v="Small"/>
    <n v="50"/>
    <n v="150"/>
    <s v="Low-Ticket"/>
    <x v="0"/>
    <x v="1"/>
  </r>
  <r>
    <x v="18"/>
    <x v="18"/>
    <s v="CUST627"/>
    <x v="0"/>
    <x v="3"/>
    <s v="Mediam"/>
    <x v="4"/>
    <n v="21"/>
    <s v="Normal"/>
    <n v="50"/>
    <n v="1050"/>
    <s v="Normal-Ticket"/>
    <x v="0"/>
    <x v="2"/>
  </r>
  <r>
    <x v="19"/>
    <x v="19"/>
    <s v="CUST973"/>
    <x v="0"/>
    <x v="0"/>
    <s v="XLarge"/>
    <x v="2"/>
    <n v="4"/>
    <s v="Small"/>
    <n v="75.5"/>
    <n v="302"/>
    <s v="Low-Ticket"/>
    <x v="0"/>
    <x v="2"/>
  </r>
  <r>
    <x v="20"/>
    <x v="20"/>
    <s v="CUST416"/>
    <x v="0"/>
    <x v="1"/>
    <s v="Mediam"/>
    <x v="2"/>
    <n v="4"/>
    <s v="Small"/>
    <n v="100"/>
    <n v="400"/>
    <s v="Low-Ticket"/>
    <x v="0"/>
    <x v="2"/>
  </r>
  <r>
    <x v="21"/>
    <x v="21"/>
    <s v="CUST834"/>
    <x v="1"/>
    <x v="2"/>
    <s v="Mediam"/>
    <x v="2"/>
    <n v="1"/>
    <s v="Small"/>
    <n v="50"/>
    <n v="50"/>
    <s v="Low-Ticket"/>
    <x v="2"/>
    <x v="2"/>
  </r>
  <r>
    <x v="22"/>
    <x v="22"/>
    <s v="CUST326"/>
    <x v="1"/>
    <x v="2"/>
    <s v="XSmall"/>
    <x v="2"/>
    <n v="5"/>
    <s v="Small"/>
    <n v="80"/>
    <n v="400"/>
    <s v="Low-Ticket"/>
    <x v="2"/>
    <x v="0"/>
  </r>
  <r>
    <x v="23"/>
    <x v="23"/>
    <s v="CUST385"/>
    <x v="4"/>
    <x v="9"/>
    <s v="Mediam"/>
    <x v="2"/>
    <n v="5"/>
    <s v="Small"/>
    <n v="100"/>
    <n v="500"/>
    <s v="Low-Ticket"/>
    <x v="1"/>
    <x v="0"/>
  </r>
  <r>
    <x v="24"/>
    <x v="24"/>
    <s v="CUST210"/>
    <x v="0"/>
    <x v="1"/>
    <s v="Large"/>
    <x v="3"/>
    <n v="4"/>
    <s v="Small"/>
    <n v="100"/>
    <n v="400"/>
    <s v="Low-Ticket"/>
    <x v="0"/>
    <x v="2"/>
  </r>
  <r>
    <x v="11"/>
    <x v="11"/>
    <s v="CUST754"/>
    <x v="1"/>
    <x v="8"/>
    <s v="XLarge"/>
    <x v="3"/>
    <n v="2"/>
    <s v="Small"/>
    <n v="50"/>
    <n v="100"/>
    <s v="Low-Ticket"/>
    <x v="2"/>
    <x v="0"/>
  </r>
  <r>
    <x v="25"/>
    <x v="25"/>
    <s v="CUST342"/>
    <x v="0"/>
    <x v="1"/>
    <s v="Mediam"/>
    <x v="2"/>
    <n v="4"/>
    <s v="Small"/>
    <n v="80"/>
    <n v="320"/>
    <s v="Low-Ticket"/>
    <x v="1"/>
    <x v="2"/>
  </r>
  <r>
    <x v="26"/>
    <x v="26"/>
    <s v="CUST680"/>
    <x v="1"/>
    <x v="2"/>
    <s v="Large"/>
    <x v="4"/>
    <n v="100"/>
    <s v="Big"/>
    <n v="50"/>
    <n v="5000"/>
    <s v="High-Ticket"/>
    <x v="0"/>
    <x v="2"/>
  </r>
  <r>
    <x v="27"/>
    <x v="27"/>
    <s v="CUST662"/>
    <x v="2"/>
    <x v="4"/>
    <s v="XLarge"/>
    <x v="2"/>
    <n v="2"/>
    <s v="Small"/>
    <n v="80"/>
    <n v="160"/>
    <s v="Low-Ticket"/>
    <x v="0"/>
    <x v="1"/>
  </r>
  <r>
    <x v="28"/>
    <x v="28"/>
    <s v="CUST675"/>
    <x v="2"/>
    <x v="4"/>
    <s v="XLarge"/>
    <x v="0"/>
    <n v="5"/>
    <s v="Small"/>
    <n v="50"/>
    <n v="250"/>
    <s v="Low-Ticket"/>
    <x v="2"/>
    <x v="1"/>
  </r>
  <r>
    <x v="29"/>
    <x v="29"/>
    <s v="CUST510"/>
    <x v="4"/>
    <x v="10"/>
    <s v="Large"/>
    <x v="1"/>
    <n v="3"/>
    <s v="Small"/>
    <n v="50"/>
    <n v="150"/>
    <s v="Low-Ticket"/>
    <x v="0"/>
    <x v="2"/>
  </r>
  <r>
    <x v="30"/>
    <x v="30"/>
    <s v="CUST555"/>
    <x v="2"/>
    <x v="4"/>
    <s v="XSmall"/>
    <x v="0"/>
    <n v="100"/>
    <s v="Big"/>
    <n v="100"/>
    <n v="10000"/>
    <s v="High-Ticket"/>
    <x v="2"/>
    <x v="2"/>
  </r>
  <r>
    <x v="31"/>
    <x v="31"/>
    <s v="CUST573"/>
    <x v="0"/>
    <x v="3"/>
    <s v="XLarge"/>
    <x v="3"/>
    <n v="1"/>
    <s v="Small"/>
    <n v="75.5"/>
    <n v="75.5"/>
    <s v="Low-Ticket"/>
    <x v="2"/>
    <x v="0"/>
  </r>
  <r>
    <x v="32"/>
    <x v="32"/>
    <s v="CUST492"/>
    <x v="3"/>
    <x v="6"/>
    <s v="XLarge"/>
    <x v="3"/>
    <n v="3"/>
    <s v="Small"/>
    <n v="100"/>
    <n v="300"/>
    <s v="Low-Ticket"/>
    <x v="1"/>
    <x v="1"/>
  </r>
  <r>
    <x v="33"/>
    <x v="33"/>
    <s v="CUST489"/>
    <x v="4"/>
    <x v="9"/>
    <s v="Mediam"/>
    <x v="2"/>
    <n v="1"/>
    <s v="Small"/>
    <n v="100"/>
    <n v="100"/>
    <s v="Low-Ticket"/>
    <x v="1"/>
    <x v="0"/>
  </r>
  <r>
    <x v="34"/>
    <x v="34"/>
    <s v="CUST482"/>
    <x v="1"/>
    <x v="12"/>
    <s v="XSmall"/>
    <x v="0"/>
    <n v="3"/>
    <s v="Small"/>
    <n v="75.5"/>
    <n v="226.5"/>
    <s v="Low-Ticket"/>
    <x v="1"/>
    <x v="1"/>
  </r>
  <r>
    <x v="35"/>
    <x v="35"/>
    <s v="CUST733"/>
    <x v="1"/>
    <x v="12"/>
    <s v="Small"/>
    <x v="1"/>
    <n v="21"/>
    <s v="Normal"/>
    <n v="75.5"/>
    <n v="1585.5"/>
    <s v="Normal-Ticket"/>
    <x v="1"/>
    <x v="2"/>
  </r>
  <r>
    <x v="36"/>
    <x v="36"/>
    <s v="CUST561"/>
    <x v="4"/>
    <x v="9"/>
    <s v="XSmall"/>
    <x v="2"/>
    <n v="1"/>
    <s v="Small"/>
    <n v="75.5"/>
    <n v="75.5"/>
    <s v="Low-Ticket"/>
    <x v="0"/>
    <x v="1"/>
  </r>
  <r>
    <x v="37"/>
    <x v="37"/>
    <s v="CUST160"/>
    <x v="2"/>
    <x v="13"/>
    <s v="XSmall"/>
    <x v="0"/>
    <n v="2"/>
    <s v="Small"/>
    <n v="100"/>
    <n v="200"/>
    <s v="Low-Ticket"/>
    <x v="0"/>
    <x v="1"/>
  </r>
  <r>
    <x v="38"/>
    <x v="38"/>
    <s v="CUST380"/>
    <x v="4"/>
    <x v="14"/>
    <s v="XLarge"/>
    <x v="0"/>
    <n v="2"/>
    <s v="Small"/>
    <n v="100"/>
    <n v="200"/>
    <s v="Low-Ticket"/>
    <x v="0"/>
    <x v="2"/>
  </r>
  <r>
    <x v="39"/>
    <x v="39"/>
    <s v="CUST551"/>
    <x v="1"/>
    <x v="2"/>
    <s v="XSmall"/>
    <x v="0"/>
    <n v="4"/>
    <s v="Small"/>
    <n v="50"/>
    <n v="200"/>
    <s v="Low-Ticket"/>
    <x v="0"/>
    <x v="0"/>
  </r>
  <r>
    <x v="40"/>
    <x v="40"/>
    <s v="CUST346"/>
    <x v="3"/>
    <x v="7"/>
    <s v="XLarge"/>
    <x v="0"/>
    <n v="100"/>
    <s v="Big"/>
    <n v="75.5"/>
    <n v="7550"/>
    <s v="High-Ticket"/>
    <x v="1"/>
    <x v="1"/>
  </r>
  <r>
    <x v="41"/>
    <x v="41"/>
    <s v="CUST187"/>
    <x v="4"/>
    <x v="10"/>
    <s v="Mediam"/>
    <x v="0"/>
    <n v="2"/>
    <s v="Small"/>
    <n v="80"/>
    <n v="160"/>
    <s v="Low-Ticket"/>
    <x v="0"/>
    <x v="2"/>
  </r>
  <r>
    <x v="42"/>
    <x v="42"/>
    <s v="CUST757"/>
    <x v="3"/>
    <x v="6"/>
    <s v="XSmall"/>
    <x v="0"/>
    <n v="2"/>
    <s v="Small"/>
    <n v="80"/>
    <n v="160"/>
    <s v="Low-Ticket"/>
    <x v="0"/>
    <x v="1"/>
  </r>
  <r>
    <x v="43"/>
    <x v="43"/>
    <s v="CUST677"/>
    <x v="2"/>
    <x v="5"/>
    <s v="XLarge"/>
    <x v="3"/>
    <n v="5"/>
    <s v="Small"/>
    <n v="50"/>
    <n v="250"/>
    <s v="Low-Ticket"/>
    <x v="0"/>
    <x v="1"/>
  </r>
  <r>
    <x v="44"/>
    <x v="44"/>
    <s v="CUST815"/>
    <x v="0"/>
    <x v="1"/>
    <s v="XSmall"/>
    <x v="2"/>
    <n v="100"/>
    <s v="Big"/>
    <n v="75.5"/>
    <n v="7550"/>
    <s v="High-Ticket"/>
    <x v="1"/>
    <x v="1"/>
  </r>
  <r>
    <x v="45"/>
    <x v="45"/>
    <s v="CUST212"/>
    <x v="2"/>
    <x v="13"/>
    <s v="Large"/>
    <x v="0"/>
    <n v="4"/>
    <s v="Small"/>
    <n v="100"/>
    <n v="400"/>
    <s v="Low-Ticket"/>
    <x v="0"/>
    <x v="1"/>
  </r>
  <r>
    <x v="46"/>
    <x v="46"/>
    <s v="CUST536"/>
    <x v="4"/>
    <x v="15"/>
    <s v="Large"/>
    <x v="1"/>
    <n v="3"/>
    <s v="Small"/>
    <n v="80"/>
    <n v="240"/>
    <s v="Low-Ticket"/>
    <x v="0"/>
    <x v="0"/>
  </r>
  <r>
    <x v="47"/>
    <x v="47"/>
    <s v="CUST201"/>
    <x v="1"/>
    <x v="2"/>
    <s v="Small"/>
    <x v="1"/>
    <n v="4"/>
    <s v="Small"/>
    <n v="100"/>
    <n v="400"/>
    <s v="Low-Ticket"/>
    <x v="0"/>
    <x v="0"/>
  </r>
  <r>
    <x v="48"/>
    <x v="12"/>
    <s v="CUST947"/>
    <x v="4"/>
    <x v="14"/>
    <s v="XSmall"/>
    <x v="4"/>
    <n v="5"/>
    <s v="Small"/>
    <n v="50"/>
    <n v="250"/>
    <s v="Low-Ticket"/>
    <x v="1"/>
    <x v="1"/>
  </r>
  <r>
    <x v="49"/>
    <x v="48"/>
    <s v="CUST564"/>
    <x v="0"/>
    <x v="3"/>
    <s v="XSmall"/>
    <x v="0"/>
    <n v="100"/>
    <s v="Big"/>
    <n v="100"/>
    <n v="10000"/>
    <s v="High-Ticket"/>
    <x v="0"/>
    <x v="1"/>
  </r>
  <r>
    <x v="50"/>
    <x v="24"/>
    <s v="CUST400"/>
    <x v="0"/>
    <x v="1"/>
    <s v="Large"/>
    <x v="1"/>
    <n v="100"/>
    <s v="Big"/>
    <n v="100"/>
    <n v="10000"/>
    <s v="High-Ticket"/>
    <x v="0"/>
    <x v="1"/>
  </r>
  <r>
    <x v="51"/>
    <x v="49"/>
    <s v="CUST216"/>
    <x v="0"/>
    <x v="1"/>
    <s v="Small"/>
    <x v="4"/>
    <n v="3"/>
    <s v="Small"/>
    <n v="80"/>
    <n v="240"/>
    <s v="Low-Ticket"/>
    <x v="0"/>
    <x v="0"/>
  </r>
  <r>
    <x v="52"/>
    <x v="50"/>
    <s v="CUST707"/>
    <x v="0"/>
    <x v="0"/>
    <s v="Mediam"/>
    <x v="1"/>
    <n v="5"/>
    <s v="Small"/>
    <n v="50"/>
    <n v="250"/>
    <s v="Low-Ticket"/>
    <x v="2"/>
    <x v="2"/>
  </r>
  <r>
    <x v="17"/>
    <x v="17"/>
    <s v="CUST656"/>
    <x v="3"/>
    <x v="11"/>
    <s v="XSmall"/>
    <x v="3"/>
    <n v="3"/>
    <s v="Small"/>
    <n v="50"/>
    <n v="150"/>
    <s v="Low-Ticket"/>
    <x v="0"/>
    <x v="1"/>
  </r>
  <r>
    <x v="53"/>
    <x v="51"/>
    <s v="CUST689"/>
    <x v="0"/>
    <x v="3"/>
    <s v="Small"/>
    <x v="1"/>
    <n v="100"/>
    <s v="Big"/>
    <n v="75.5"/>
    <n v="7550"/>
    <s v="High-Ticket"/>
    <x v="2"/>
    <x v="1"/>
  </r>
  <r>
    <x v="54"/>
    <x v="52"/>
    <s v="CUST296"/>
    <x v="3"/>
    <x v="11"/>
    <s v="Mediam"/>
    <x v="0"/>
    <n v="4"/>
    <s v="Small"/>
    <n v="50"/>
    <n v="200"/>
    <s v="Low-Ticket"/>
    <x v="0"/>
    <x v="0"/>
  </r>
  <r>
    <x v="55"/>
    <x v="53"/>
    <s v="CUST155"/>
    <x v="2"/>
    <x v="5"/>
    <s v="Mediam"/>
    <x v="2"/>
    <n v="100"/>
    <s v="Big"/>
    <n v="50"/>
    <n v="5000"/>
    <s v="High-Ticket"/>
    <x v="0"/>
    <x v="0"/>
  </r>
  <r>
    <x v="56"/>
    <x v="27"/>
    <s v="CUST913"/>
    <x v="1"/>
    <x v="12"/>
    <s v="Mediam"/>
    <x v="3"/>
    <n v="5"/>
    <s v="Small"/>
    <n v="50"/>
    <n v="250"/>
    <s v="Low-Ticket"/>
    <x v="1"/>
    <x v="2"/>
  </r>
  <r>
    <x v="57"/>
    <x v="54"/>
    <s v="CUST111"/>
    <x v="1"/>
    <x v="12"/>
    <s v="Mediam"/>
    <x v="3"/>
    <n v="1"/>
    <s v="Small"/>
    <n v="50"/>
    <n v="50"/>
    <s v="Low-Ticket"/>
    <x v="0"/>
    <x v="1"/>
  </r>
  <r>
    <x v="58"/>
    <x v="55"/>
    <s v="CUST193"/>
    <x v="2"/>
    <x v="4"/>
    <s v="Mediam"/>
    <x v="1"/>
    <n v="4"/>
    <s v="Small"/>
    <n v="80"/>
    <n v="320"/>
    <s v="Low-Ticket"/>
    <x v="0"/>
    <x v="2"/>
  </r>
  <r>
    <x v="59"/>
    <x v="56"/>
    <s v="CUST349"/>
    <x v="0"/>
    <x v="0"/>
    <s v="XLarge"/>
    <x v="4"/>
    <n v="4"/>
    <s v="Small"/>
    <n v="100"/>
    <n v="400"/>
    <s v="Low-Ticket"/>
    <x v="0"/>
    <x v="0"/>
  </r>
  <r>
    <x v="60"/>
    <x v="57"/>
    <s v="CUST366"/>
    <x v="0"/>
    <x v="3"/>
    <s v="Small"/>
    <x v="4"/>
    <n v="4"/>
    <s v="Small"/>
    <n v="100"/>
    <n v="400"/>
    <s v="Low-Ticket"/>
    <x v="0"/>
    <x v="0"/>
  </r>
  <r>
    <x v="61"/>
    <x v="58"/>
    <s v="CUST197"/>
    <x v="2"/>
    <x v="13"/>
    <s v="Large"/>
    <x v="0"/>
    <n v="1"/>
    <s v="Small"/>
    <n v="100"/>
    <n v="100"/>
    <s v="Low-Ticket"/>
    <x v="0"/>
    <x v="0"/>
  </r>
  <r>
    <x v="62"/>
    <x v="59"/>
    <s v="CUST674"/>
    <x v="1"/>
    <x v="12"/>
    <s v="Large"/>
    <x v="2"/>
    <n v="2"/>
    <s v="Small"/>
    <n v="50"/>
    <n v="100"/>
    <s v="Low-Ticket"/>
    <x v="2"/>
    <x v="1"/>
  </r>
  <r>
    <x v="63"/>
    <x v="60"/>
    <s v="CUST764"/>
    <x v="1"/>
    <x v="8"/>
    <s v="Mediam"/>
    <x v="0"/>
    <n v="4"/>
    <s v="Small"/>
    <n v="50"/>
    <n v="200"/>
    <s v="Low-Ticket"/>
    <x v="0"/>
    <x v="0"/>
  </r>
  <r>
    <x v="64"/>
    <x v="13"/>
    <s v="CUST345"/>
    <x v="2"/>
    <x v="5"/>
    <s v="XSmall"/>
    <x v="3"/>
    <n v="21"/>
    <s v="Normal"/>
    <n v="50"/>
    <n v="1050"/>
    <s v="Normal-Ticket"/>
    <x v="0"/>
    <x v="0"/>
  </r>
  <r>
    <x v="65"/>
    <x v="3"/>
    <s v="CUST227"/>
    <x v="1"/>
    <x v="8"/>
    <s v="Large"/>
    <x v="4"/>
    <n v="4"/>
    <s v="Small"/>
    <n v="100"/>
    <n v="400"/>
    <s v="Low-Ticket"/>
    <x v="0"/>
    <x v="1"/>
  </r>
  <r>
    <x v="66"/>
    <x v="61"/>
    <s v="CUST446"/>
    <x v="2"/>
    <x v="5"/>
    <s v="Large"/>
    <x v="4"/>
    <n v="2"/>
    <s v="Small"/>
    <n v="50"/>
    <n v="100"/>
    <s v="Low-Ticket"/>
    <x v="0"/>
    <x v="2"/>
  </r>
  <r>
    <x v="67"/>
    <x v="62"/>
    <s v="CUST953"/>
    <x v="2"/>
    <x v="4"/>
    <s v="XLarge"/>
    <x v="0"/>
    <n v="4"/>
    <s v="Small"/>
    <n v="100"/>
    <n v="400"/>
    <s v="Low-Ticket"/>
    <x v="0"/>
    <x v="0"/>
  </r>
  <r>
    <x v="68"/>
    <x v="63"/>
    <s v="CUST253"/>
    <x v="2"/>
    <x v="4"/>
    <s v="XLarge"/>
    <x v="4"/>
    <n v="2"/>
    <s v="Small"/>
    <n v="100"/>
    <n v="200"/>
    <s v="Low-Ticket"/>
    <x v="1"/>
    <x v="1"/>
  </r>
  <r>
    <x v="69"/>
    <x v="14"/>
    <s v="CUST756"/>
    <x v="2"/>
    <x v="5"/>
    <s v="XLarge"/>
    <x v="3"/>
    <n v="5"/>
    <s v="Small"/>
    <n v="100"/>
    <n v="500"/>
    <s v="Low-Ticket"/>
    <x v="2"/>
    <x v="1"/>
  </r>
  <r>
    <x v="70"/>
    <x v="64"/>
    <s v="CUST521"/>
    <x v="4"/>
    <x v="14"/>
    <s v="XLarge"/>
    <x v="0"/>
    <n v="3"/>
    <s v="Small"/>
    <n v="50"/>
    <n v="150"/>
    <s v="Low-Ticket"/>
    <x v="0"/>
    <x v="2"/>
  </r>
  <r>
    <x v="71"/>
    <x v="30"/>
    <s v="CUST591"/>
    <x v="1"/>
    <x v="12"/>
    <s v="Mediam"/>
    <x v="0"/>
    <n v="100"/>
    <s v="Big"/>
    <n v="80"/>
    <n v="8000"/>
    <s v="High-Ticket"/>
    <x v="0"/>
    <x v="0"/>
  </r>
  <r>
    <x v="72"/>
    <x v="65"/>
    <s v="CUST732"/>
    <x v="0"/>
    <x v="0"/>
    <s v="Mediam"/>
    <x v="1"/>
    <n v="1"/>
    <s v="Small"/>
    <n v="75.5"/>
    <n v="75.5"/>
    <s v="Low-Ticket"/>
    <x v="0"/>
    <x v="1"/>
  </r>
  <r>
    <x v="73"/>
    <x v="66"/>
    <s v="CUST951"/>
    <x v="1"/>
    <x v="2"/>
    <s v="XSmall"/>
    <x v="3"/>
    <n v="1"/>
    <s v="Small"/>
    <n v="50"/>
    <n v="50"/>
    <s v="Low-Ticket"/>
    <x v="1"/>
    <x v="1"/>
  </r>
  <r>
    <x v="74"/>
    <x v="67"/>
    <s v="CUST494"/>
    <x v="0"/>
    <x v="0"/>
    <s v="Large"/>
    <x v="2"/>
    <n v="5"/>
    <s v="Small"/>
    <n v="50"/>
    <n v="250"/>
    <s v="Low-Ticket"/>
    <x v="1"/>
    <x v="1"/>
  </r>
  <r>
    <x v="75"/>
    <x v="48"/>
    <s v="CUST484"/>
    <x v="0"/>
    <x v="1"/>
    <s v="XLarge"/>
    <x v="4"/>
    <n v="5"/>
    <s v="Small"/>
    <n v="100"/>
    <n v="500"/>
    <s v="Low-Ticket"/>
    <x v="1"/>
    <x v="2"/>
  </r>
  <r>
    <x v="76"/>
    <x v="68"/>
    <s v="CUST107"/>
    <x v="0"/>
    <x v="0"/>
    <s v="Large"/>
    <x v="3"/>
    <n v="5"/>
    <s v="Small"/>
    <n v="100"/>
    <n v="500"/>
    <s v="Low-Ticket"/>
    <x v="2"/>
    <x v="2"/>
  </r>
  <r>
    <x v="77"/>
    <x v="69"/>
    <s v="CUST711"/>
    <x v="3"/>
    <x v="7"/>
    <s v="Large"/>
    <x v="2"/>
    <n v="1"/>
    <s v="Small"/>
    <n v="100"/>
    <n v="100"/>
    <s v="Low-Ticket"/>
    <x v="0"/>
    <x v="0"/>
  </r>
  <r>
    <x v="78"/>
    <x v="70"/>
    <s v="CUST765"/>
    <x v="1"/>
    <x v="2"/>
    <s v="XSmall"/>
    <x v="1"/>
    <n v="4"/>
    <s v="Small"/>
    <n v="80"/>
    <n v="320"/>
    <s v="Low-Ticket"/>
    <x v="1"/>
    <x v="0"/>
  </r>
  <r>
    <x v="79"/>
    <x v="71"/>
    <s v="CUST382"/>
    <x v="0"/>
    <x v="3"/>
    <s v="Large"/>
    <x v="1"/>
    <n v="2"/>
    <s v="Small"/>
    <n v="100"/>
    <n v="200"/>
    <s v="Low-Ticket"/>
    <x v="0"/>
    <x v="0"/>
  </r>
  <r>
    <x v="80"/>
    <x v="11"/>
    <s v="CUST726"/>
    <x v="1"/>
    <x v="12"/>
    <s v="Large"/>
    <x v="3"/>
    <n v="1"/>
    <s v="Small"/>
    <n v="50"/>
    <n v="50"/>
    <s v="Low-Ticket"/>
    <x v="0"/>
    <x v="2"/>
  </r>
  <r>
    <x v="81"/>
    <x v="72"/>
    <s v="CUST833"/>
    <x v="1"/>
    <x v="2"/>
    <s v="Mediam"/>
    <x v="4"/>
    <n v="100"/>
    <s v="Big"/>
    <n v="100"/>
    <n v="10000"/>
    <s v="High-Ticket"/>
    <x v="1"/>
    <x v="2"/>
  </r>
  <r>
    <x v="82"/>
    <x v="73"/>
    <s v="CUST638"/>
    <x v="0"/>
    <x v="3"/>
    <s v="XLarge"/>
    <x v="1"/>
    <n v="3"/>
    <s v="Small"/>
    <n v="100"/>
    <n v="300"/>
    <s v="Low-Ticket"/>
    <x v="0"/>
    <x v="1"/>
  </r>
  <r>
    <x v="83"/>
    <x v="31"/>
    <s v="CUST138"/>
    <x v="2"/>
    <x v="4"/>
    <s v="Small"/>
    <x v="1"/>
    <n v="4"/>
    <s v="Small"/>
    <n v="50"/>
    <n v="200"/>
    <s v="Low-Ticket"/>
    <x v="2"/>
    <x v="2"/>
  </r>
  <r>
    <x v="84"/>
    <x v="74"/>
    <s v="CUST363"/>
    <x v="2"/>
    <x v="13"/>
    <s v="Mediam"/>
    <x v="0"/>
    <n v="2"/>
    <s v="Small"/>
    <n v="75.5"/>
    <n v="151"/>
    <s v="Low-Ticket"/>
    <x v="0"/>
    <x v="0"/>
  </r>
  <r>
    <x v="85"/>
    <x v="75"/>
    <s v="CUST910"/>
    <x v="1"/>
    <x v="2"/>
    <s v="XLarge"/>
    <x v="1"/>
    <n v="4"/>
    <s v="Small"/>
    <n v="80"/>
    <n v="320"/>
    <s v="Low-Ticket"/>
    <x v="2"/>
    <x v="0"/>
  </r>
  <r>
    <x v="86"/>
    <x v="19"/>
    <s v="CUST659"/>
    <x v="0"/>
    <x v="1"/>
    <s v="XLarge"/>
    <x v="1"/>
    <n v="1"/>
    <s v="Small"/>
    <n v="100"/>
    <n v="100"/>
    <s v="Low-Ticket"/>
    <x v="1"/>
    <x v="0"/>
  </r>
  <r>
    <x v="87"/>
    <x v="76"/>
    <s v="CUST958"/>
    <x v="4"/>
    <x v="9"/>
    <s v="XLarge"/>
    <x v="2"/>
    <n v="4"/>
    <s v="Small"/>
    <n v="100"/>
    <n v="400"/>
    <s v="Low-Ticket"/>
    <x v="2"/>
    <x v="0"/>
  </r>
  <r>
    <x v="88"/>
    <x v="77"/>
    <s v="CUST880"/>
    <x v="1"/>
    <x v="12"/>
    <s v="Small"/>
    <x v="4"/>
    <n v="5"/>
    <s v="Small"/>
    <n v="80"/>
    <n v="400"/>
    <s v="Low-Ticket"/>
    <x v="1"/>
    <x v="1"/>
  </r>
  <r>
    <x v="89"/>
    <x v="44"/>
    <s v="CUST474"/>
    <x v="3"/>
    <x v="11"/>
    <s v="Mediam"/>
    <x v="3"/>
    <n v="4"/>
    <s v="Small"/>
    <n v="100"/>
    <n v="400"/>
    <s v="Low-Ticket"/>
    <x v="2"/>
    <x v="2"/>
  </r>
  <r>
    <x v="90"/>
    <x v="78"/>
    <s v="CUST833"/>
    <x v="3"/>
    <x v="7"/>
    <s v="Small"/>
    <x v="4"/>
    <n v="1"/>
    <s v="Small"/>
    <n v="75.5"/>
    <n v="75.5"/>
    <s v="Low-Ticket"/>
    <x v="2"/>
    <x v="0"/>
  </r>
  <r>
    <x v="91"/>
    <x v="79"/>
    <s v="CUST409"/>
    <x v="0"/>
    <x v="1"/>
    <s v="Small"/>
    <x v="1"/>
    <n v="3"/>
    <s v="Small"/>
    <n v="50"/>
    <n v="150"/>
    <s v="Low-Ticket"/>
    <x v="0"/>
    <x v="1"/>
  </r>
  <r>
    <x v="92"/>
    <x v="80"/>
    <s v="CUST772"/>
    <x v="3"/>
    <x v="6"/>
    <s v="Mediam"/>
    <x v="1"/>
    <n v="2"/>
    <s v="Small"/>
    <n v="100"/>
    <n v="200"/>
    <s v="Low-Ticket"/>
    <x v="0"/>
    <x v="2"/>
  </r>
  <r>
    <x v="93"/>
    <x v="81"/>
    <s v="CUST627"/>
    <x v="3"/>
    <x v="7"/>
    <s v="XSmall"/>
    <x v="3"/>
    <n v="2"/>
    <s v="Small"/>
    <n v="75.5"/>
    <n v="151"/>
    <s v="Low-Ticket"/>
    <x v="1"/>
    <x v="2"/>
  </r>
  <r>
    <x v="44"/>
    <x v="82"/>
    <s v="CUST945"/>
    <x v="2"/>
    <x v="13"/>
    <s v="XLarge"/>
    <x v="1"/>
    <n v="5"/>
    <s v="Small"/>
    <n v="100"/>
    <n v="500"/>
    <s v="Low-Ticket"/>
    <x v="1"/>
    <x v="2"/>
  </r>
  <r>
    <x v="94"/>
    <x v="83"/>
    <s v="CUST541"/>
    <x v="0"/>
    <x v="0"/>
    <s v="XLarge"/>
    <x v="2"/>
    <n v="1"/>
    <s v="Small"/>
    <n v="50"/>
    <n v="50"/>
    <s v="Low-Ticket"/>
    <x v="1"/>
    <x v="1"/>
  </r>
  <r>
    <x v="95"/>
    <x v="12"/>
    <s v="CUST407"/>
    <x v="4"/>
    <x v="14"/>
    <s v="XSmall"/>
    <x v="0"/>
    <n v="100"/>
    <s v="Big"/>
    <n v="75.5"/>
    <n v="7550"/>
    <s v="High-Ticket"/>
    <x v="0"/>
    <x v="1"/>
  </r>
  <r>
    <x v="96"/>
    <x v="84"/>
    <s v="CUST153"/>
    <x v="0"/>
    <x v="3"/>
    <s v="XLarge"/>
    <x v="1"/>
    <n v="5"/>
    <s v="Small"/>
    <n v="50"/>
    <n v="250"/>
    <s v="Low-Ticket"/>
    <x v="0"/>
    <x v="0"/>
  </r>
  <r>
    <x v="97"/>
    <x v="85"/>
    <s v="CUST151"/>
    <x v="3"/>
    <x v="6"/>
    <s v="XSmall"/>
    <x v="4"/>
    <n v="4"/>
    <s v="Small"/>
    <n v="100"/>
    <n v="400"/>
    <s v="Low-Ticket"/>
    <x v="2"/>
    <x v="0"/>
  </r>
  <r>
    <x v="98"/>
    <x v="86"/>
    <s v="CUST195"/>
    <x v="0"/>
    <x v="1"/>
    <s v="Mediam"/>
    <x v="3"/>
    <n v="5"/>
    <s v="Small"/>
    <n v="80"/>
    <n v="400"/>
    <s v="Low-Ticket"/>
    <x v="1"/>
    <x v="0"/>
  </r>
  <r>
    <x v="99"/>
    <x v="87"/>
    <s v="CUST760"/>
    <x v="1"/>
    <x v="12"/>
    <s v="XSmall"/>
    <x v="2"/>
    <n v="2"/>
    <s v="Small"/>
    <n v="75.5"/>
    <n v="151"/>
    <s v="Low-Ticket"/>
    <x v="0"/>
    <x v="0"/>
  </r>
  <r>
    <x v="100"/>
    <x v="88"/>
    <s v="CUST700"/>
    <x v="2"/>
    <x v="13"/>
    <s v="XSmall"/>
    <x v="2"/>
    <n v="2"/>
    <s v="Small"/>
    <n v="50"/>
    <n v="100"/>
    <s v="Low-Ticket"/>
    <x v="2"/>
    <x v="1"/>
  </r>
  <r>
    <x v="101"/>
    <x v="89"/>
    <s v="CUST603"/>
    <x v="4"/>
    <x v="15"/>
    <s v="Mediam"/>
    <x v="4"/>
    <n v="100"/>
    <s v="Big"/>
    <n v="50"/>
    <n v="5000"/>
    <s v="High-Ticket"/>
    <x v="2"/>
    <x v="0"/>
  </r>
  <r>
    <x v="102"/>
    <x v="90"/>
    <s v="CUST328"/>
    <x v="2"/>
    <x v="5"/>
    <s v="XSmall"/>
    <x v="2"/>
    <n v="4"/>
    <s v="Small"/>
    <n v="50"/>
    <n v="200"/>
    <s v="Low-Ticket"/>
    <x v="0"/>
    <x v="2"/>
  </r>
  <r>
    <x v="103"/>
    <x v="91"/>
    <s v="CUST516"/>
    <x v="3"/>
    <x v="11"/>
    <s v="Small"/>
    <x v="3"/>
    <n v="2"/>
    <s v="Small"/>
    <n v="50"/>
    <n v="100"/>
    <s v="Low-Ticket"/>
    <x v="2"/>
    <x v="0"/>
  </r>
  <r>
    <x v="104"/>
    <x v="92"/>
    <s v="CUST676"/>
    <x v="2"/>
    <x v="5"/>
    <s v="Small"/>
    <x v="1"/>
    <n v="5"/>
    <s v="Small"/>
    <n v="80"/>
    <n v="400"/>
    <s v="Low-Ticket"/>
    <x v="2"/>
    <x v="2"/>
  </r>
  <r>
    <x v="105"/>
    <x v="93"/>
    <s v="CUST880"/>
    <x v="1"/>
    <x v="8"/>
    <s v="Mediam"/>
    <x v="1"/>
    <n v="2"/>
    <s v="Small"/>
    <n v="80"/>
    <n v="160"/>
    <s v="Low-Ticket"/>
    <x v="1"/>
    <x v="2"/>
  </r>
  <r>
    <x v="106"/>
    <x v="94"/>
    <s v="CUST169"/>
    <x v="2"/>
    <x v="4"/>
    <s v="XSmall"/>
    <x v="2"/>
    <n v="5"/>
    <s v="Small"/>
    <n v="50"/>
    <n v="250"/>
    <s v="Low-Ticket"/>
    <x v="0"/>
    <x v="1"/>
  </r>
  <r>
    <x v="107"/>
    <x v="95"/>
    <s v="CUST257"/>
    <x v="2"/>
    <x v="13"/>
    <s v="XLarge"/>
    <x v="3"/>
    <n v="1"/>
    <s v="Small"/>
    <n v="50"/>
    <n v="50"/>
    <s v="Low-Ticket"/>
    <x v="0"/>
    <x v="0"/>
  </r>
  <r>
    <x v="108"/>
    <x v="96"/>
    <s v="CUST162"/>
    <x v="3"/>
    <x v="11"/>
    <s v="Small"/>
    <x v="4"/>
    <n v="1"/>
    <s v="Small"/>
    <n v="100"/>
    <n v="100"/>
    <s v="Low-Ticket"/>
    <x v="0"/>
    <x v="1"/>
  </r>
  <r>
    <x v="109"/>
    <x v="97"/>
    <s v="CUST749"/>
    <x v="2"/>
    <x v="5"/>
    <s v="Large"/>
    <x v="0"/>
    <n v="1"/>
    <s v="Small"/>
    <n v="50"/>
    <n v="50"/>
    <s v="Low-Ticket"/>
    <x v="0"/>
    <x v="0"/>
  </r>
  <r>
    <x v="110"/>
    <x v="86"/>
    <s v="CUST557"/>
    <x v="3"/>
    <x v="11"/>
    <s v="XSmall"/>
    <x v="3"/>
    <n v="4"/>
    <s v="Small"/>
    <n v="50"/>
    <n v="200"/>
    <s v="Low-Ticket"/>
    <x v="0"/>
    <x v="2"/>
  </r>
  <r>
    <x v="111"/>
    <x v="98"/>
    <s v="CUST105"/>
    <x v="3"/>
    <x v="6"/>
    <s v="Large"/>
    <x v="4"/>
    <n v="2"/>
    <s v="Small"/>
    <n v="100"/>
    <n v="200"/>
    <s v="Low-Ticket"/>
    <x v="1"/>
    <x v="2"/>
  </r>
  <r>
    <x v="112"/>
    <x v="99"/>
    <s v="CUST460"/>
    <x v="2"/>
    <x v="5"/>
    <s v="Small"/>
    <x v="2"/>
    <n v="100"/>
    <s v="Big"/>
    <n v="100"/>
    <n v="10000"/>
    <s v="High-Ticket"/>
    <x v="0"/>
    <x v="1"/>
  </r>
  <r>
    <x v="113"/>
    <x v="100"/>
    <s v="CUST502"/>
    <x v="3"/>
    <x v="6"/>
    <s v="Small"/>
    <x v="1"/>
    <n v="3"/>
    <s v="Small"/>
    <n v="50"/>
    <n v="150"/>
    <s v="Low-Ticket"/>
    <x v="0"/>
    <x v="1"/>
  </r>
  <r>
    <x v="114"/>
    <x v="101"/>
    <s v="CUST177"/>
    <x v="0"/>
    <x v="0"/>
    <s v="XSmall"/>
    <x v="1"/>
    <n v="5"/>
    <s v="Small"/>
    <n v="50"/>
    <n v="250"/>
    <s v="Low-Ticket"/>
    <x v="0"/>
    <x v="2"/>
  </r>
  <r>
    <x v="115"/>
    <x v="102"/>
    <s v="CUST372"/>
    <x v="2"/>
    <x v="13"/>
    <s v="XSmall"/>
    <x v="3"/>
    <n v="5"/>
    <s v="Small"/>
    <n v="100"/>
    <n v="500"/>
    <s v="Low-Ticket"/>
    <x v="2"/>
    <x v="0"/>
  </r>
  <r>
    <x v="116"/>
    <x v="78"/>
    <s v="CUST421"/>
    <x v="2"/>
    <x v="4"/>
    <s v="Mediam"/>
    <x v="0"/>
    <n v="100"/>
    <s v="Big"/>
    <n v="50"/>
    <n v="5000"/>
    <s v="High-Ticket"/>
    <x v="0"/>
    <x v="0"/>
  </r>
  <r>
    <x v="117"/>
    <x v="103"/>
    <s v="CUST734"/>
    <x v="2"/>
    <x v="4"/>
    <s v="XLarge"/>
    <x v="3"/>
    <n v="100"/>
    <s v="Big"/>
    <n v="100"/>
    <n v="10000"/>
    <s v="High-Ticket"/>
    <x v="1"/>
    <x v="0"/>
  </r>
  <r>
    <x v="118"/>
    <x v="104"/>
    <s v="CUST825"/>
    <x v="3"/>
    <x v="7"/>
    <s v="Large"/>
    <x v="1"/>
    <n v="100"/>
    <s v="Big"/>
    <n v="50"/>
    <n v="5000"/>
    <s v="High-Ticket"/>
    <x v="2"/>
    <x v="1"/>
  </r>
  <r>
    <x v="119"/>
    <x v="20"/>
    <s v="CUST510"/>
    <x v="3"/>
    <x v="11"/>
    <s v="Large"/>
    <x v="2"/>
    <n v="21"/>
    <s v="Normal"/>
    <n v="100"/>
    <n v="2100"/>
    <s v="Normal-Ticket"/>
    <x v="1"/>
    <x v="2"/>
  </r>
  <r>
    <x v="120"/>
    <x v="6"/>
    <s v="CUST115"/>
    <x v="2"/>
    <x v="13"/>
    <s v="XSmall"/>
    <x v="4"/>
    <n v="100"/>
    <s v="Big"/>
    <n v="80"/>
    <n v="8000"/>
    <s v="High-Ticket"/>
    <x v="0"/>
    <x v="2"/>
  </r>
  <r>
    <x v="121"/>
    <x v="105"/>
    <s v="CUST838"/>
    <x v="4"/>
    <x v="9"/>
    <s v="XLarge"/>
    <x v="0"/>
    <n v="5"/>
    <s v="Small"/>
    <n v="80"/>
    <n v="400"/>
    <s v="Low-Ticket"/>
    <x v="0"/>
    <x v="2"/>
  </r>
  <r>
    <x v="122"/>
    <x v="97"/>
    <s v="CUST430"/>
    <x v="2"/>
    <x v="4"/>
    <s v="XLarge"/>
    <x v="0"/>
    <n v="3"/>
    <s v="Small"/>
    <n v="75.5"/>
    <n v="226.5"/>
    <s v="Low-Ticket"/>
    <x v="2"/>
    <x v="2"/>
  </r>
  <r>
    <x v="123"/>
    <x v="106"/>
    <s v="CUST184"/>
    <x v="0"/>
    <x v="1"/>
    <s v="Large"/>
    <x v="2"/>
    <n v="2"/>
    <s v="Small"/>
    <n v="80"/>
    <n v="160"/>
    <s v="Low-Ticket"/>
    <x v="1"/>
    <x v="2"/>
  </r>
  <r>
    <x v="124"/>
    <x v="107"/>
    <s v="CUST255"/>
    <x v="2"/>
    <x v="5"/>
    <s v="Mediam"/>
    <x v="1"/>
    <n v="1"/>
    <s v="Small"/>
    <n v="80"/>
    <n v="80"/>
    <s v="Low-Ticket"/>
    <x v="0"/>
    <x v="1"/>
  </r>
  <r>
    <x v="125"/>
    <x v="108"/>
    <s v="CUST200"/>
    <x v="4"/>
    <x v="15"/>
    <s v="Mediam"/>
    <x v="1"/>
    <n v="2"/>
    <s v="Small"/>
    <n v="80"/>
    <n v="160"/>
    <s v="Low-Ticket"/>
    <x v="0"/>
    <x v="2"/>
  </r>
  <r>
    <x v="126"/>
    <x v="109"/>
    <s v="CUST152"/>
    <x v="1"/>
    <x v="8"/>
    <s v="XLarge"/>
    <x v="2"/>
    <n v="21"/>
    <s v="Normal"/>
    <n v="50"/>
    <n v="1050"/>
    <s v="Normal-Ticket"/>
    <x v="0"/>
    <x v="0"/>
  </r>
  <r>
    <x v="127"/>
    <x v="110"/>
    <s v="CUST443"/>
    <x v="1"/>
    <x v="8"/>
    <s v="XLarge"/>
    <x v="2"/>
    <n v="2"/>
    <s v="Small"/>
    <n v="80"/>
    <n v="160"/>
    <s v="Low-Ticket"/>
    <x v="0"/>
    <x v="2"/>
  </r>
  <r>
    <x v="128"/>
    <x v="44"/>
    <s v="CUST907"/>
    <x v="2"/>
    <x v="5"/>
    <s v="Mediam"/>
    <x v="1"/>
    <n v="1"/>
    <s v="Small"/>
    <n v="75.5"/>
    <n v="75.5"/>
    <s v="Low-Ticket"/>
    <x v="1"/>
    <x v="1"/>
  </r>
  <r>
    <x v="129"/>
    <x v="17"/>
    <s v="CUST472"/>
    <x v="3"/>
    <x v="11"/>
    <s v="Small"/>
    <x v="1"/>
    <n v="5"/>
    <s v="Small"/>
    <n v="100"/>
    <n v="500"/>
    <s v="Low-Ticket"/>
    <x v="1"/>
    <x v="2"/>
  </r>
  <r>
    <x v="130"/>
    <x v="111"/>
    <s v="CUST790"/>
    <x v="3"/>
    <x v="11"/>
    <s v="XSmall"/>
    <x v="0"/>
    <n v="2"/>
    <s v="Small"/>
    <n v="50"/>
    <n v="100"/>
    <s v="Low-Ticket"/>
    <x v="0"/>
    <x v="0"/>
  </r>
  <r>
    <x v="131"/>
    <x v="89"/>
    <s v="CUST480"/>
    <x v="4"/>
    <x v="10"/>
    <s v="Large"/>
    <x v="1"/>
    <n v="5"/>
    <s v="Small"/>
    <n v="100"/>
    <n v="500"/>
    <s v="Low-Ticket"/>
    <x v="0"/>
    <x v="1"/>
  </r>
  <r>
    <x v="132"/>
    <x v="110"/>
    <s v="CUST775"/>
    <x v="0"/>
    <x v="1"/>
    <s v="Large"/>
    <x v="2"/>
    <n v="3"/>
    <s v="Small"/>
    <n v="80"/>
    <n v="240"/>
    <s v="Low-Ticket"/>
    <x v="0"/>
    <x v="0"/>
  </r>
  <r>
    <x v="133"/>
    <x v="112"/>
    <s v="CUST663"/>
    <x v="3"/>
    <x v="7"/>
    <s v="Mediam"/>
    <x v="3"/>
    <n v="100"/>
    <s v="Big"/>
    <n v="100"/>
    <n v="10000"/>
    <s v="High-Ticket"/>
    <x v="2"/>
    <x v="1"/>
  </r>
  <r>
    <x v="134"/>
    <x v="113"/>
    <s v="CUST702"/>
    <x v="0"/>
    <x v="3"/>
    <s v="XLarge"/>
    <x v="2"/>
    <n v="100"/>
    <s v="Big"/>
    <n v="50"/>
    <n v="5000"/>
    <s v="High-Ticket"/>
    <x v="0"/>
    <x v="1"/>
  </r>
  <r>
    <x v="135"/>
    <x v="114"/>
    <s v="CUST693"/>
    <x v="3"/>
    <x v="6"/>
    <s v="Mediam"/>
    <x v="1"/>
    <n v="4"/>
    <s v="Small"/>
    <n v="80"/>
    <n v="320"/>
    <s v="Low-Ticket"/>
    <x v="0"/>
    <x v="2"/>
  </r>
  <r>
    <x v="136"/>
    <x v="115"/>
    <s v="CUST907"/>
    <x v="3"/>
    <x v="6"/>
    <s v="Mediam"/>
    <x v="3"/>
    <n v="5"/>
    <s v="Small"/>
    <n v="100"/>
    <n v="500"/>
    <s v="Low-Ticket"/>
    <x v="1"/>
    <x v="1"/>
  </r>
  <r>
    <x v="137"/>
    <x v="116"/>
    <s v="CUST439"/>
    <x v="4"/>
    <x v="15"/>
    <s v="XSmall"/>
    <x v="2"/>
    <n v="1"/>
    <s v="Small"/>
    <n v="100"/>
    <n v="100"/>
    <s v="Low-Ticket"/>
    <x v="0"/>
    <x v="2"/>
  </r>
  <r>
    <x v="138"/>
    <x v="81"/>
    <s v="CUST835"/>
    <x v="1"/>
    <x v="12"/>
    <s v="Mediam"/>
    <x v="4"/>
    <n v="3"/>
    <s v="Small"/>
    <n v="80"/>
    <n v="240"/>
    <s v="Low-Ticket"/>
    <x v="2"/>
    <x v="2"/>
  </r>
  <r>
    <x v="139"/>
    <x v="19"/>
    <s v="CUST512"/>
    <x v="1"/>
    <x v="12"/>
    <s v="XLarge"/>
    <x v="4"/>
    <n v="5"/>
    <s v="Small"/>
    <n v="50"/>
    <n v="250"/>
    <s v="Low-Ticket"/>
    <x v="2"/>
    <x v="1"/>
  </r>
  <r>
    <x v="93"/>
    <x v="25"/>
    <s v="CUST627"/>
    <x v="3"/>
    <x v="7"/>
    <s v="XSmall"/>
    <x v="3"/>
    <n v="2"/>
    <s v="Small"/>
    <n v="75.5"/>
    <n v="151"/>
    <s v="Low-Ticket"/>
    <x v="1"/>
    <x v="2"/>
  </r>
  <r>
    <x v="19"/>
    <x v="117"/>
    <s v="CUST973"/>
    <x v="0"/>
    <x v="0"/>
    <s v="XLarge"/>
    <x v="2"/>
    <n v="4"/>
    <s v="Small"/>
    <n v="75.5"/>
    <n v="302"/>
    <s v="Low-Ticket"/>
    <x v="0"/>
    <x v="2"/>
  </r>
  <r>
    <x v="140"/>
    <x v="118"/>
    <s v="CUST244"/>
    <x v="4"/>
    <x v="14"/>
    <s v="Mediam"/>
    <x v="4"/>
    <n v="4"/>
    <s v="Small"/>
    <n v="75.5"/>
    <n v="302"/>
    <s v="Low-Ticket"/>
    <x v="0"/>
    <x v="0"/>
  </r>
  <r>
    <x v="141"/>
    <x v="92"/>
    <s v="CUST688"/>
    <x v="1"/>
    <x v="12"/>
    <s v="Mediam"/>
    <x v="1"/>
    <n v="100"/>
    <s v="Big"/>
    <n v="50"/>
    <n v="5000"/>
    <s v="High-Ticket"/>
    <x v="1"/>
    <x v="1"/>
  </r>
  <r>
    <x v="142"/>
    <x v="104"/>
    <s v="CUST530"/>
    <x v="1"/>
    <x v="8"/>
    <s v="Large"/>
    <x v="4"/>
    <n v="100"/>
    <s v="Big"/>
    <n v="100"/>
    <n v="10000"/>
    <s v="High-Ticket"/>
    <x v="0"/>
    <x v="1"/>
  </r>
  <r>
    <x v="143"/>
    <x v="12"/>
    <s v="CUST540"/>
    <x v="2"/>
    <x v="13"/>
    <s v="Mediam"/>
    <x v="0"/>
    <n v="1"/>
    <s v="Small"/>
    <n v="100"/>
    <n v="100"/>
    <s v="Low-Ticket"/>
    <x v="0"/>
    <x v="1"/>
  </r>
  <r>
    <x v="144"/>
    <x v="119"/>
    <s v="CUST434"/>
    <x v="0"/>
    <x v="0"/>
    <s v="Mediam"/>
    <x v="2"/>
    <n v="4"/>
    <s v="Small"/>
    <n v="100"/>
    <n v="400"/>
    <s v="Low-Ticket"/>
    <x v="0"/>
    <x v="1"/>
  </r>
  <r>
    <x v="95"/>
    <x v="120"/>
    <s v="CUST407"/>
    <x v="4"/>
    <x v="14"/>
    <s v="XSmall"/>
    <x v="0"/>
    <n v="100"/>
    <s v="Big"/>
    <n v="75.5"/>
    <n v="7550"/>
    <s v="High-Ticket"/>
    <x v="0"/>
    <x v="1"/>
  </r>
  <r>
    <x v="145"/>
    <x v="121"/>
    <s v="CUST485"/>
    <x v="0"/>
    <x v="3"/>
    <s v="Mediam"/>
    <x v="3"/>
    <n v="100"/>
    <s v="Big"/>
    <n v="100"/>
    <n v="10000"/>
    <s v="High-Ticket"/>
    <x v="1"/>
    <x v="2"/>
  </r>
  <r>
    <x v="146"/>
    <x v="122"/>
    <s v="CUST860"/>
    <x v="3"/>
    <x v="7"/>
    <s v="XLarge"/>
    <x v="3"/>
    <n v="100"/>
    <s v="Big"/>
    <n v="50"/>
    <n v="5000"/>
    <s v="High-Ticket"/>
    <x v="0"/>
    <x v="0"/>
  </r>
  <r>
    <x v="147"/>
    <x v="93"/>
    <s v="CUST597"/>
    <x v="2"/>
    <x v="13"/>
    <s v="Small"/>
    <x v="3"/>
    <n v="1"/>
    <s v="Small"/>
    <n v="80"/>
    <n v="80"/>
    <s v="Low-Ticket"/>
    <x v="1"/>
    <x v="1"/>
  </r>
  <r>
    <x v="148"/>
    <x v="123"/>
    <s v="CUST178"/>
    <x v="4"/>
    <x v="15"/>
    <s v="Large"/>
    <x v="2"/>
    <n v="100"/>
    <s v="Big"/>
    <n v="50"/>
    <n v="5000"/>
    <s v="High-Ticket"/>
    <x v="0"/>
    <x v="0"/>
  </r>
  <r>
    <x v="149"/>
    <x v="124"/>
    <s v="CUST157"/>
    <x v="1"/>
    <x v="8"/>
    <s v="Mediam"/>
    <x v="4"/>
    <n v="5"/>
    <s v="Small"/>
    <n v="50"/>
    <n v="250"/>
    <s v="Low-Ticket"/>
    <x v="0"/>
    <x v="2"/>
  </r>
  <r>
    <x v="150"/>
    <x v="125"/>
    <s v="CUST213"/>
    <x v="0"/>
    <x v="0"/>
    <s v="XLarge"/>
    <x v="1"/>
    <n v="5"/>
    <s v="Small"/>
    <n v="75.5"/>
    <n v="377.5"/>
    <s v="Low-Ticket"/>
    <x v="2"/>
    <x v="0"/>
  </r>
  <r>
    <x v="151"/>
    <x v="126"/>
    <s v="CUST831"/>
    <x v="4"/>
    <x v="9"/>
    <s v="Large"/>
    <x v="0"/>
    <n v="2"/>
    <s v="Small"/>
    <n v="75.5"/>
    <n v="151"/>
    <s v="Low-Ticket"/>
    <x v="2"/>
    <x v="1"/>
  </r>
  <r>
    <x v="152"/>
    <x v="23"/>
    <s v="CUST771"/>
    <x v="3"/>
    <x v="11"/>
    <s v="Small"/>
    <x v="1"/>
    <n v="2"/>
    <s v="Small"/>
    <n v="80"/>
    <n v="160"/>
    <s v="Low-Ticket"/>
    <x v="1"/>
    <x v="2"/>
  </r>
  <r>
    <x v="153"/>
    <x v="41"/>
    <s v="CUST258"/>
    <x v="1"/>
    <x v="2"/>
    <s v="XSmall"/>
    <x v="1"/>
    <n v="4"/>
    <s v="Small"/>
    <n v="80"/>
    <n v="320"/>
    <s v="Low-Ticket"/>
    <x v="1"/>
    <x v="2"/>
  </r>
  <r>
    <x v="23"/>
    <x v="127"/>
    <s v="CUST385"/>
    <x v="4"/>
    <x v="9"/>
    <s v="Mediam"/>
    <x v="2"/>
    <n v="5"/>
    <s v="Small"/>
    <n v="100"/>
    <n v="500"/>
    <s v="Low-Ticket"/>
    <x v="1"/>
    <x v="0"/>
  </r>
  <r>
    <x v="154"/>
    <x v="128"/>
    <s v="CUST801"/>
    <x v="0"/>
    <x v="3"/>
    <s v="Large"/>
    <x v="1"/>
    <n v="2"/>
    <s v="Small"/>
    <n v="50"/>
    <n v="100"/>
    <s v="Low-Ticket"/>
    <x v="0"/>
    <x v="2"/>
  </r>
  <r>
    <x v="155"/>
    <x v="129"/>
    <s v="CUST525"/>
    <x v="4"/>
    <x v="10"/>
    <s v="Large"/>
    <x v="4"/>
    <n v="5"/>
    <s v="Small"/>
    <n v="100"/>
    <n v="500"/>
    <s v="Low-Ticket"/>
    <x v="0"/>
    <x v="0"/>
  </r>
  <r>
    <x v="156"/>
    <x v="130"/>
    <s v="CUST818"/>
    <x v="1"/>
    <x v="12"/>
    <s v="XSmall"/>
    <x v="2"/>
    <n v="1"/>
    <s v="Small"/>
    <n v="75.5"/>
    <n v="75.5"/>
    <s v="Low-Ticket"/>
    <x v="0"/>
    <x v="1"/>
  </r>
  <r>
    <x v="157"/>
    <x v="30"/>
    <s v="CUST694"/>
    <x v="3"/>
    <x v="6"/>
    <s v="Large"/>
    <x v="0"/>
    <n v="100"/>
    <s v="Big"/>
    <n v="80"/>
    <n v="8000"/>
    <s v="High-Ticket"/>
    <x v="0"/>
    <x v="0"/>
  </r>
  <r>
    <x v="158"/>
    <x v="30"/>
    <s v="CUST898"/>
    <x v="3"/>
    <x v="11"/>
    <s v="XLarge"/>
    <x v="3"/>
    <n v="2"/>
    <s v="Small"/>
    <n v="50"/>
    <n v="100"/>
    <s v="Low-Ticket"/>
    <x v="1"/>
    <x v="2"/>
  </r>
  <r>
    <x v="159"/>
    <x v="17"/>
    <s v="CUST602"/>
    <x v="0"/>
    <x v="1"/>
    <s v="XSmall"/>
    <x v="0"/>
    <n v="100"/>
    <s v="Big"/>
    <n v="75.5"/>
    <n v="7550"/>
    <s v="High-Ticket"/>
    <x v="2"/>
    <x v="0"/>
  </r>
  <r>
    <x v="160"/>
    <x v="53"/>
    <s v="CUST856"/>
    <x v="0"/>
    <x v="3"/>
    <s v="XLarge"/>
    <x v="0"/>
    <n v="1"/>
    <s v="Small"/>
    <n v="75.5"/>
    <n v="75.5"/>
    <s v="Low-Ticket"/>
    <x v="2"/>
    <x v="2"/>
  </r>
  <r>
    <x v="161"/>
    <x v="131"/>
    <s v="CUST331"/>
    <x v="0"/>
    <x v="0"/>
    <s v="Mediam"/>
    <x v="1"/>
    <n v="1"/>
    <s v="Small"/>
    <n v="100"/>
    <n v="100"/>
    <s v="Low-Ticket"/>
    <x v="0"/>
    <x v="0"/>
  </r>
  <r>
    <x v="162"/>
    <x v="35"/>
    <s v="CUST762"/>
    <x v="3"/>
    <x v="6"/>
    <s v="XLarge"/>
    <x v="4"/>
    <n v="3"/>
    <s v="Small"/>
    <n v="50"/>
    <n v="150"/>
    <s v="Low-Ticket"/>
    <x v="1"/>
    <x v="0"/>
  </r>
  <r>
    <x v="163"/>
    <x v="132"/>
    <s v="CUST142"/>
    <x v="1"/>
    <x v="8"/>
    <s v="XLarge"/>
    <x v="4"/>
    <n v="5"/>
    <s v="Small"/>
    <n v="50"/>
    <n v="250"/>
    <s v="Low-Ticket"/>
    <x v="0"/>
    <x v="0"/>
  </r>
  <r>
    <x v="164"/>
    <x v="133"/>
    <s v="CUST536"/>
    <x v="0"/>
    <x v="1"/>
    <s v="Large"/>
    <x v="3"/>
    <n v="100"/>
    <s v="Big"/>
    <n v="50"/>
    <n v="5000"/>
    <s v="High-Ticket"/>
    <x v="0"/>
    <x v="0"/>
  </r>
  <r>
    <x v="165"/>
    <x v="134"/>
    <s v="CUST538"/>
    <x v="1"/>
    <x v="2"/>
    <s v="XLarge"/>
    <x v="0"/>
    <n v="21"/>
    <s v="Normal"/>
    <n v="50"/>
    <n v="1050"/>
    <s v="Normal-Ticket"/>
    <x v="1"/>
    <x v="0"/>
  </r>
  <r>
    <x v="166"/>
    <x v="135"/>
    <s v="CUST625"/>
    <x v="3"/>
    <x v="6"/>
    <s v="Large"/>
    <x v="0"/>
    <n v="5"/>
    <s v="Small"/>
    <n v="50"/>
    <n v="250"/>
    <s v="Low-Ticket"/>
    <x v="2"/>
    <x v="0"/>
  </r>
  <r>
    <x v="158"/>
    <x v="30"/>
    <s v="CUST898"/>
    <x v="3"/>
    <x v="11"/>
    <s v="XLarge"/>
    <x v="3"/>
    <n v="2"/>
    <s v="Small"/>
    <n v="50"/>
    <n v="100"/>
    <s v="Low-Ticket"/>
    <x v="1"/>
    <x v="2"/>
  </r>
  <r>
    <x v="167"/>
    <x v="10"/>
    <s v="CUST492"/>
    <x v="2"/>
    <x v="4"/>
    <s v="XSmall"/>
    <x v="0"/>
    <n v="100"/>
    <s v="Big"/>
    <n v="50"/>
    <n v="5000"/>
    <s v="High-Ticket"/>
    <x v="0"/>
    <x v="0"/>
  </r>
  <r>
    <x v="168"/>
    <x v="1"/>
    <s v="CUST492"/>
    <x v="2"/>
    <x v="5"/>
    <s v="XLarge"/>
    <x v="3"/>
    <n v="3"/>
    <s v="Small"/>
    <n v="50"/>
    <n v="150"/>
    <s v="Low-Ticket"/>
    <x v="2"/>
    <x v="2"/>
  </r>
  <r>
    <x v="169"/>
    <x v="136"/>
    <s v="CUST170"/>
    <x v="0"/>
    <x v="0"/>
    <s v="Large"/>
    <x v="3"/>
    <n v="2"/>
    <s v="Small"/>
    <n v="100"/>
    <n v="200"/>
    <s v="Low-Ticket"/>
    <x v="0"/>
    <x v="0"/>
  </r>
  <r>
    <x v="1"/>
    <x v="40"/>
    <s v="CUST819"/>
    <x v="0"/>
    <x v="1"/>
    <s v="Small"/>
    <x v="0"/>
    <n v="100"/>
    <s v="Big"/>
    <n v="80"/>
    <n v="8000"/>
    <s v="High-Ticket"/>
    <x v="0"/>
    <x v="0"/>
  </r>
  <r>
    <x v="170"/>
    <x v="32"/>
    <s v="CUST411"/>
    <x v="1"/>
    <x v="2"/>
    <s v="Large"/>
    <x v="2"/>
    <n v="3"/>
    <s v="Small"/>
    <n v="50"/>
    <n v="150"/>
    <s v="Low-Ticket"/>
    <x v="0"/>
    <x v="1"/>
  </r>
  <r>
    <x v="171"/>
    <x v="130"/>
    <s v="CUST378"/>
    <x v="1"/>
    <x v="8"/>
    <s v="XLarge"/>
    <x v="1"/>
    <n v="2"/>
    <s v="Small"/>
    <n v="50"/>
    <n v="100"/>
    <s v="Low-Ticket"/>
    <x v="0"/>
    <x v="2"/>
  </r>
  <r>
    <x v="161"/>
    <x v="131"/>
    <s v="CUST331"/>
    <x v="0"/>
    <x v="0"/>
    <s v="Mediam"/>
    <x v="1"/>
    <n v="1"/>
    <s v="Small"/>
    <n v="100"/>
    <n v="100"/>
    <s v="Low-Ticket"/>
    <x v="0"/>
    <x v="0"/>
  </r>
  <r>
    <x v="172"/>
    <x v="15"/>
    <s v="CUST302"/>
    <x v="2"/>
    <x v="5"/>
    <s v="Small"/>
    <x v="1"/>
    <n v="100"/>
    <s v="Big"/>
    <n v="50"/>
    <n v="5000"/>
    <s v="High-Ticket"/>
    <x v="0"/>
    <x v="1"/>
  </r>
  <r>
    <x v="173"/>
    <x v="137"/>
    <s v="CUST663"/>
    <x v="1"/>
    <x v="8"/>
    <s v="Large"/>
    <x v="1"/>
    <n v="2"/>
    <s v="Small"/>
    <n v="50"/>
    <n v="100"/>
    <s v="Low-Ticket"/>
    <x v="2"/>
    <x v="2"/>
  </r>
  <r>
    <x v="174"/>
    <x v="2"/>
    <s v="CUST389"/>
    <x v="0"/>
    <x v="3"/>
    <s v="Mediam"/>
    <x v="2"/>
    <n v="100"/>
    <s v="Big"/>
    <n v="100"/>
    <n v="10000"/>
    <s v="High-Ticket"/>
    <x v="2"/>
    <x v="2"/>
  </r>
  <r>
    <x v="175"/>
    <x v="22"/>
    <s v="CUST670"/>
    <x v="3"/>
    <x v="6"/>
    <s v="Large"/>
    <x v="3"/>
    <n v="3"/>
    <s v="Small"/>
    <n v="100"/>
    <n v="300"/>
    <s v="Low-Ticket"/>
    <x v="0"/>
    <x v="0"/>
  </r>
  <r>
    <x v="2"/>
    <x v="138"/>
    <s v="CUST954"/>
    <x v="1"/>
    <x v="2"/>
    <s v="Mediam"/>
    <x v="0"/>
    <n v="3"/>
    <s v="Small"/>
    <n v="100"/>
    <n v="300"/>
    <s v="Low-Ticket"/>
    <x v="1"/>
    <x v="1"/>
  </r>
  <r>
    <x v="22"/>
    <x v="139"/>
    <s v="CUST326"/>
    <x v="1"/>
    <x v="2"/>
    <s v="XSmall"/>
    <x v="2"/>
    <n v="5"/>
    <s v="Small"/>
    <n v="80"/>
    <n v="400"/>
    <s v="Low-Ticket"/>
    <x v="2"/>
    <x v="0"/>
  </r>
  <r>
    <x v="176"/>
    <x v="103"/>
    <s v="CUST849"/>
    <x v="3"/>
    <x v="7"/>
    <s v="XLarge"/>
    <x v="2"/>
    <n v="3"/>
    <s v="Small"/>
    <n v="75.5"/>
    <n v="226.5"/>
    <s v="Low-Ticket"/>
    <x v="0"/>
    <x v="1"/>
  </r>
  <r>
    <x v="177"/>
    <x v="140"/>
    <s v="CUST262"/>
    <x v="0"/>
    <x v="3"/>
    <s v="Mediam"/>
    <x v="3"/>
    <n v="3"/>
    <s v="Small"/>
    <n v="80"/>
    <n v="240"/>
    <s v="Low-Ticket"/>
    <x v="0"/>
    <x v="0"/>
  </r>
  <r>
    <x v="178"/>
    <x v="141"/>
    <s v="CUST955"/>
    <x v="2"/>
    <x v="5"/>
    <s v="XLarge"/>
    <x v="2"/>
    <n v="3"/>
    <s v="Small"/>
    <n v="75.5"/>
    <n v="226.5"/>
    <s v="Low-Ticket"/>
    <x v="1"/>
    <x v="2"/>
  </r>
  <r>
    <x v="179"/>
    <x v="142"/>
    <s v="CUST717"/>
    <x v="0"/>
    <x v="1"/>
    <s v="Large"/>
    <x v="0"/>
    <n v="100"/>
    <s v="Big"/>
    <n v="100"/>
    <n v="10000"/>
    <s v="High-Ticket"/>
    <x v="0"/>
    <x v="0"/>
  </r>
  <r>
    <x v="180"/>
    <x v="143"/>
    <s v="CUST922"/>
    <x v="1"/>
    <x v="12"/>
    <s v="Large"/>
    <x v="3"/>
    <n v="3"/>
    <s v="Small"/>
    <n v="80"/>
    <n v="240"/>
    <s v="Low-Ticket"/>
    <x v="2"/>
    <x v="0"/>
  </r>
  <r>
    <x v="181"/>
    <x v="76"/>
    <s v="CUST933"/>
    <x v="3"/>
    <x v="6"/>
    <s v="Large"/>
    <x v="1"/>
    <n v="3"/>
    <s v="Small"/>
    <n v="50"/>
    <n v="150"/>
    <s v="Low-Ticket"/>
    <x v="0"/>
    <x v="1"/>
  </r>
  <r>
    <x v="182"/>
    <x v="93"/>
    <s v="CUST545"/>
    <x v="2"/>
    <x v="5"/>
    <s v="XLarge"/>
    <x v="0"/>
    <n v="5"/>
    <s v="Small"/>
    <n v="50"/>
    <n v="250"/>
    <s v="Low-Ticket"/>
    <x v="2"/>
    <x v="0"/>
  </r>
  <r>
    <x v="87"/>
    <x v="144"/>
    <s v="CUST958"/>
    <x v="4"/>
    <x v="9"/>
    <s v="XLarge"/>
    <x v="2"/>
    <n v="4"/>
    <s v="Small"/>
    <n v="100"/>
    <n v="400"/>
    <s v="Low-Ticket"/>
    <x v="2"/>
    <x v="0"/>
  </r>
  <r>
    <x v="105"/>
    <x v="51"/>
    <s v="CUST880"/>
    <x v="1"/>
    <x v="8"/>
    <s v="Mediam"/>
    <x v="1"/>
    <n v="2"/>
    <s v="Small"/>
    <n v="80"/>
    <n v="160"/>
    <s v="Low-Ticket"/>
    <x v="1"/>
    <x v="2"/>
  </r>
  <r>
    <x v="183"/>
    <x v="145"/>
    <s v="CUST254"/>
    <x v="4"/>
    <x v="10"/>
    <s v="XLarge"/>
    <x v="4"/>
    <n v="5"/>
    <s v="Small"/>
    <n v="100"/>
    <n v="500"/>
    <s v="Low-Ticket"/>
    <x v="0"/>
    <x v="1"/>
  </r>
  <r>
    <x v="184"/>
    <x v="141"/>
    <s v="CUST697"/>
    <x v="0"/>
    <x v="3"/>
    <s v="Small"/>
    <x v="3"/>
    <n v="1"/>
    <s v="Small"/>
    <n v="50"/>
    <n v="50"/>
    <s v="Low-Ticket"/>
    <x v="0"/>
    <x v="1"/>
  </r>
  <r>
    <x v="185"/>
    <x v="146"/>
    <s v="CUST169"/>
    <x v="0"/>
    <x v="3"/>
    <s v="Mediam"/>
    <x v="0"/>
    <n v="3"/>
    <s v="Small"/>
    <n v="80"/>
    <n v="240"/>
    <s v="Low-Ticket"/>
    <x v="0"/>
    <x v="0"/>
  </r>
  <r>
    <x v="186"/>
    <x v="147"/>
    <s v="CUST552"/>
    <x v="1"/>
    <x v="12"/>
    <s v="Mediam"/>
    <x v="4"/>
    <n v="4"/>
    <s v="Small"/>
    <n v="100"/>
    <n v="400"/>
    <s v="Low-Ticket"/>
    <x v="0"/>
    <x v="0"/>
  </r>
  <r>
    <x v="187"/>
    <x v="95"/>
    <s v="CUST153"/>
    <x v="1"/>
    <x v="2"/>
    <s v="XSmall"/>
    <x v="1"/>
    <n v="2"/>
    <s v="Small"/>
    <n v="75.5"/>
    <n v="151"/>
    <s v="Low-Ticket"/>
    <x v="0"/>
    <x v="2"/>
  </r>
  <r>
    <x v="188"/>
    <x v="148"/>
    <s v="CUST175"/>
    <x v="3"/>
    <x v="6"/>
    <s v="XLarge"/>
    <x v="0"/>
    <n v="3"/>
    <s v="Small"/>
    <n v="50"/>
    <n v="150"/>
    <s v="Low-Ticket"/>
    <x v="2"/>
    <x v="0"/>
  </r>
  <r>
    <x v="185"/>
    <x v="146"/>
    <s v="CUST169"/>
    <x v="0"/>
    <x v="3"/>
    <s v="Mediam"/>
    <x v="0"/>
    <n v="3"/>
    <s v="Small"/>
    <n v="80"/>
    <n v="240"/>
    <s v="Low-Ticket"/>
    <x v="0"/>
    <x v="0"/>
  </r>
  <r>
    <x v="189"/>
    <x v="96"/>
    <s v="CUST903"/>
    <x v="0"/>
    <x v="3"/>
    <s v="Small"/>
    <x v="1"/>
    <n v="4"/>
    <s v="Small"/>
    <n v="100"/>
    <n v="400"/>
    <s v="Low-Ticket"/>
    <x v="0"/>
    <x v="1"/>
  </r>
  <r>
    <x v="108"/>
    <x v="95"/>
    <s v="CUST162"/>
    <x v="3"/>
    <x v="11"/>
    <s v="Small"/>
    <x v="4"/>
    <n v="1"/>
    <s v="Small"/>
    <n v="100"/>
    <n v="100"/>
    <s v="Low-Ticket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88:B108" firstHeaderRow="1" firstDataRow="1" firstDataCol="1"/>
  <pivotFields count="16">
    <pivotField showAll="0">
      <items count="191">
        <item x="55"/>
        <item x="14"/>
        <item x="6"/>
        <item x="178"/>
        <item x="19"/>
        <item x="127"/>
        <item x="39"/>
        <item x="73"/>
        <item x="72"/>
        <item x="23"/>
        <item x="41"/>
        <item x="128"/>
        <item x="152"/>
        <item x="145"/>
        <item x="46"/>
        <item x="1"/>
        <item x="30"/>
        <item x="143"/>
        <item x="137"/>
        <item x="148"/>
        <item x="17"/>
        <item x="125"/>
        <item x="129"/>
        <item x="175"/>
        <item x="62"/>
        <item x="91"/>
        <item x="166"/>
        <item x="32"/>
        <item x="119"/>
        <item x="124"/>
        <item x="22"/>
        <item x="35"/>
        <item x="187"/>
        <item x="85"/>
        <item x="126"/>
        <item x="2"/>
        <item x="103"/>
        <item x="7"/>
        <item x="141"/>
        <item x="54"/>
        <item x="53"/>
        <item x="88"/>
        <item x="102"/>
        <item x="115"/>
        <item x="56"/>
        <item x="165"/>
        <item x="42"/>
        <item x="139"/>
        <item x="27"/>
        <item x="0"/>
        <item x="189"/>
        <item x="142"/>
        <item x="146"/>
        <item x="9"/>
        <item x="76"/>
        <item x="183"/>
        <item x="78"/>
        <item x="176"/>
        <item x="151"/>
        <item x="172"/>
        <item x="21"/>
        <item x="33"/>
        <item x="10"/>
        <item x="74"/>
        <item x="86"/>
        <item x="31"/>
        <item x="99"/>
        <item x="164"/>
        <item x="117"/>
        <item x="147"/>
        <item x="101"/>
        <item x="135"/>
        <item x="67"/>
        <item x="96"/>
        <item x="89"/>
        <item x="104"/>
        <item x="110"/>
        <item x="71"/>
        <item x="120"/>
        <item x="169"/>
        <item x="64"/>
        <item x="136"/>
        <item x="97"/>
        <item x="37"/>
        <item x="157"/>
        <item x="25"/>
        <item x="83"/>
        <item x="159"/>
        <item x="45"/>
        <item x="48"/>
        <item x="59"/>
        <item x="24"/>
        <item x="162"/>
        <item x="130"/>
        <item x="156"/>
        <item x="80"/>
        <item x="131"/>
        <item x="105"/>
        <item x="26"/>
        <item x="109"/>
        <item x="94"/>
        <item x="100"/>
        <item x="114"/>
        <item x="132"/>
        <item x="20"/>
        <item x="186"/>
        <item x="163"/>
        <item x="149"/>
        <item x="144"/>
        <item x="170"/>
        <item x="154"/>
        <item x="38"/>
        <item x="69"/>
        <item x="82"/>
        <item x="8"/>
        <item x="18"/>
        <item x="12"/>
        <item x="133"/>
        <item x="116"/>
        <item x="63"/>
        <item x="167"/>
        <item x="185"/>
        <item x="16"/>
        <item x="179"/>
        <item x="57"/>
        <item x="84"/>
        <item x="66"/>
        <item x="118"/>
        <item x="107"/>
        <item x="138"/>
        <item x="87"/>
        <item x="113"/>
        <item x="3"/>
        <item x="121"/>
        <item x="180"/>
        <item x="65"/>
        <item x="182"/>
        <item x="28"/>
        <item x="47"/>
        <item x="43"/>
        <item x="153"/>
        <item x="134"/>
        <item x="92"/>
        <item x="4"/>
        <item x="40"/>
        <item x="29"/>
        <item x="51"/>
        <item x="155"/>
        <item x="150"/>
        <item x="60"/>
        <item x="52"/>
        <item x="95"/>
        <item x="171"/>
        <item x="5"/>
        <item x="58"/>
        <item x="49"/>
        <item x="188"/>
        <item x="140"/>
        <item x="161"/>
        <item x="13"/>
        <item x="34"/>
        <item x="168"/>
        <item x="111"/>
        <item x="93"/>
        <item x="98"/>
        <item x="15"/>
        <item x="36"/>
        <item x="70"/>
        <item x="75"/>
        <item x="79"/>
        <item x="181"/>
        <item x="112"/>
        <item x="123"/>
        <item x="11"/>
        <item x="177"/>
        <item x="90"/>
        <item x="106"/>
        <item x="61"/>
        <item x="158"/>
        <item x="122"/>
        <item x="108"/>
        <item x="174"/>
        <item x="81"/>
        <item x="173"/>
        <item x="160"/>
        <item x="50"/>
        <item x="184"/>
        <item x="68"/>
        <item x="77"/>
        <item x="44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showAll="0"/>
    <pivotField numFmtId="2" showAll="0"/>
    <pivotField dataField="1" numFmtId="2" showAll="0"/>
    <pivotField showAll="0"/>
    <pivotField showAll="0">
      <items count="5">
        <item x="1"/>
        <item m="1" x="3"/>
        <item x="0"/>
        <item x="2"/>
        <item t="default"/>
      </items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3">
    <field x="15"/>
    <field x="14"/>
    <field x="1"/>
  </rowFields>
  <rowItems count="20">
    <i>
      <x v="1"/>
    </i>
    <i r="1">
      <x v="2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t="grand">
      <x/>
    </i>
  </rowItems>
  <colItems count="1">
    <i/>
  </colItems>
  <dataFields count="1">
    <dataField name="Sum of Total_Sales" fld="10" baseField="0" baseItem="0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78:B84" firstHeaderRow="1" firstDataRow="1" firstDataCol="1"/>
  <pivotFields count="16">
    <pivotField showAll="0">
      <items count="191">
        <item x="55"/>
        <item x="14"/>
        <item x="6"/>
        <item x="178"/>
        <item x="19"/>
        <item x="127"/>
        <item x="39"/>
        <item x="73"/>
        <item x="72"/>
        <item x="23"/>
        <item x="41"/>
        <item x="128"/>
        <item x="152"/>
        <item x="145"/>
        <item x="46"/>
        <item x="1"/>
        <item x="30"/>
        <item x="143"/>
        <item x="137"/>
        <item x="148"/>
        <item x="17"/>
        <item x="125"/>
        <item x="129"/>
        <item x="175"/>
        <item x="62"/>
        <item x="91"/>
        <item x="166"/>
        <item x="32"/>
        <item x="119"/>
        <item x="124"/>
        <item x="22"/>
        <item x="35"/>
        <item x="187"/>
        <item x="85"/>
        <item x="126"/>
        <item x="2"/>
        <item x="103"/>
        <item x="7"/>
        <item x="141"/>
        <item x="54"/>
        <item x="53"/>
        <item x="88"/>
        <item x="102"/>
        <item x="115"/>
        <item x="56"/>
        <item x="165"/>
        <item x="42"/>
        <item x="139"/>
        <item x="27"/>
        <item x="0"/>
        <item x="189"/>
        <item x="142"/>
        <item x="146"/>
        <item x="9"/>
        <item x="76"/>
        <item x="183"/>
        <item x="78"/>
        <item x="176"/>
        <item x="151"/>
        <item x="172"/>
        <item x="21"/>
        <item x="33"/>
        <item x="10"/>
        <item x="74"/>
        <item x="86"/>
        <item x="31"/>
        <item x="99"/>
        <item x="164"/>
        <item x="117"/>
        <item x="147"/>
        <item x="101"/>
        <item x="135"/>
        <item x="67"/>
        <item x="96"/>
        <item x="89"/>
        <item x="104"/>
        <item x="110"/>
        <item x="71"/>
        <item x="120"/>
        <item x="169"/>
        <item x="64"/>
        <item x="136"/>
        <item x="97"/>
        <item x="37"/>
        <item x="157"/>
        <item x="25"/>
        <item x="83"/>
        <item x="159"/>
        <item x="45"/>
        <item x="48"/>
        <item x="59"/>
        <item x="24"/>
        <item x="162"/>
        <item x="130"/>
        <item x="156"/>
        <item x="80"/>
        <item x="131"/>
        <item x="105"/>
        <item x="26"/>
        <item x="109"/>
        <item x="94"/>
        <item x="100"/>
        <item x="114"/>
        <item x="132"/>
        <item x="20"/>
        <item x="186"/>
        <item x="163"/>
        <item x="149"/>
        <item x="144"/>
        <item x="170"/>
        <item x="154"/>
        <item x="38"/>
        <item x="69"/>
        <item x="82"/>
        <item x="8"/>
        <item x="18"/>
        <item x="12"/>
        <item x="133"/>
        <item x="116"/>
        <item x="63"/>
        <item x="167"/>
        <item x="185"/>
        <item x="16"/>
        <item x="179"/>
        <item x="57"/>
        <item x="84"/>
        <item x="66"/>
        <item x="118"/>
        <item x="107"/>
        <item x="138"/>
        <item x="87"/>
        <item x="113"/>
        <item x="3"/>
        <item x="121"/>
        <item x="180"/>
        <item x="65"/>
        <item x="182"/>
        <item x="28"/>
        <item x="47"/>
        <item x="43"/>
        <item x="153"/>
        <item x="134"/>
        <item x="92"/>
        <item x="4"/>
        <item x="40"/>
        <item x="29"/>
        <item x="51"/>
        <item x="155"/>
        <item x="150"/>
        <item x="60"/>
        <item x="52"/>
        <item x="95"/>
        <item x="171"/>
        <item x="5"/>
        <item x="58"/>
        <item x="49"/>
        <item x="188"/>
        <item x="140"/>
        <item x="161"/>
        <item x="13"/>
        <item x="34"/>
        <item x="168"/>
        <item x="111"/>
        <item x="93"/>
        <item x="98"/>
        <item x="15"/>
        <item x="36"/>
        <item x="70"/>
        <item x="75"/>
        <item x="79"/>
        <item x="181"/>
        <item x="112"/>
        <item x="123"/>
        <item x="11"/>
        <item x="177"/>
        <item x="90"/>
        <item x="106"/>
        <item x="61"/>
        <item x="158"/>
        <item x="122"/>
        <item x="108"/>
        <item x="174"/>
        <item x="81"/>
        <item x="173"/>
        <item x="160"/>
        <item x="50"/>
        <item x="184"/>
        <item x="68"/>
        <item x="77"/>
        <item x="44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showAll="0"/>
    <pivotField numFmtId="2" showAll="0"/>
    <pivotField dataField="1" numFmtId="2" showAll="0"/>
    <pivotField showAll="0"/>
    <pivotField showAll="0">
      <items count="5">
        <item x="1"/>
        <item m="1" x="3"/>
        <item x="0"/>
        <item x="2"/>
        <item t="default"/>
      </items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6">
    <i>
      <x v="3"/>
    </i>
    <i>
      <x v="1"/>
    </i>
    <i>
      <x v="2"/>
    </i>
    <i>
      <x/>
    </i>
    <i>
      <x v="4"/>
    </i>
    <i t="grand">
      <x/>
    </i>
  </rowItems>
  <colItems count="1">
    <i/>
  </colItems>
  <dataFields count="1">
    <dataField name="Sum of Total_Sales" fld="10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69:B73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numFmtId="2" showAll="0"/>
    <pivotField dataField="1" numFmtId="2" showAll="0"/>
    <pivotField showAll="0"/>
    <pivotField showAll="0">
      <items count="5">
        <item x="1"/>
        <item m="1" x="3"/>
        <item x="0"/>
        <item x="2"/>
        <item t="default"/>
      </items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Total_Sales" fld="10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60:B64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numFmtId="2" showAll="0"/>
    <pivotField numFmtId="2" showAll="0"/>
    <pivotField showAll="0"/>
    <pivotField axis="axisRow" showAll="0" sortType="descending">
      <items count="5">
        <item x="1"/>
        <item m="1"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4">
    <i>
      <x v="2"/>
    </i>
    <i>
      <x/>
    </i>
    <i>
      <x v="3"/>
    </i>
    <i t="grand">
      <x/>
    </i>
  </rowItems>
  <colItems count="1">
    <i/>
  </colItems>
  <dataFields count="1">
    <dataField name="Count of Invoice_ID" fld="0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48:G55" firstHeaderRow="1" firstDataRow="2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axis="axisCol" showAll="0">
      <items count="6">
        <item x="3"/>
        <item x="0"/>
        <item x="2"/>
        <item x="1"/>
        <item x="4"/>
        <item t="default"/>
      </items>
    </pivotField>
    <pivotField numFmtId="1" showAll="0"/>
    <pivotField showAll="0"/>
    <pivotField numFmtId="2" showAll="0"/>
    <pivotField numFmtId="2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nvoice_ID" fld="0" subtotal="count" baseField="0" baseItem="0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6:R43" firstHeaderRow="1" firstDataRow="2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axis="axisCol" showAll="0">
      <items count="17">
        <item x="14"/>
        <item x="7"/>
        <item x="13"/>
        <item x="3"/>
        <item x="1"/>
        <item x="2"/>
        <item x="8"/>
        <item x="5"/>
        <item x="6"/>
        <item x="11"/>
        <item x="0"/>
        <item x="4"/>
        <item x="15"/>
        <item x="10"/>
        <item x="12"/>
        <item x="9"/>
        <item t="default"/>
      </items>
    </pivotField>
    <pivotField showAll="0"/>
    <pivotField showAll="0"/>
    <pivotField numFmtId="1" showAll="0"/>
    <pivotField showAll="0"/>
    <pivotField numFmtId="2" showAll="0"/>
    <pivotField numFmtId="2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Count of Invoic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25:E32" firstHeaderRow="1" firstDataRow="2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numFmtId="1" showAll="0"/>
    <pivotField showAll="0"/>
    <pivotField numFmtId="2" showAll="0"/>
    <pivotField numFmtId="2"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Invoice_ID" fld="0" subtotal="count" baseField="0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7:B21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numFmtId="2" showAll="0"/>
    <pivotField numFmtId="2"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Invoice_ID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A13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numFmtId="2" showAll="0"/>
    <pivotField dataField="1" numFmtId="2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Sum of Total_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:A8" firstHeaderRow="1" firstDataRow="1" firstDataCol="0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numFmtId="2" showAll="0"/>
    <pivotField numFmtId="2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Count of Invoic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108"/>
  <sheetViews>
    <sheetView topLeftCell="A87" workbookViewId="0">
      <selection activeCell="B91" sqref="B91"/>
    </sheetView>
  </sheetViews>
  <sheetFormatPr defaultRowHeight="15" x14ac:dyDescent="0.25"/>
  <cols>
    <col min="1" max="1" width="13.140625" customWidth="1"/>
    <col min="2" max="2" width="17.85546875" customWidth="1"/>
    <col min="3" max="3" width="15.140625" bestFit="1" customWidth="1"/>
    <col min="4" max="4" width="11" customWidth="1"/>
    <col min="5" max="5" width="11.28515625" customWidth="1"/>
    <col min="6" max="6" width="6" customWidth="1"/>
    <col min="7" max="7" width="5.85546875" customWidth="1"/>
    <col min="8" max="8" width="8.5703125" customWidth="1"/>
    <col min="9" max="9" width="10.7109375" customWidth="1"/>
    <col min="10" max="10" width="9" customWidth="1"/>
    <col min="11" max="11" width="5.28515625" customWidth="1"/>
    <col min="12" max="12" width="9" customWidth="1"/>
    <col min="13" max="13" width="13.85546875" customWidth="1"/>
    <col min="14" max="14" width="8.28515625" customWidth="1"/>
    <col min="15" max="15" width="8.85546875" customWidth="1"/>
    <col min="16" max="16" width="8.5703125" customWidth="1"/>
    <col min="17" max="17" width="6.7109375" customWidth="1"/>
    <col min="18" max="18" width="11.28515625" customWidth="1"/>
    <col min="19" max="191" width="8.28515625" customWidth="1"/>
    <col min="192" max="192" width="11.28515625" bestFit="1" customWidth="1"/>
  </cols>
  <sheetData>
    <row r="3" spans="1:10" ht="26.25" x14ac:dyDescent="0.4">
      <c r="J3" s="15" t="s">
        <v>450</v>
      </c>
    </row>
    <row r="6" spans="1:10" ht="18.75" customHeight="1" x14ac:dyDescent="0.4">
      <c r="J6" s="16"/>
    </row>
    <row r="7" spans="1:10" ht="15.75" x14ac:dyDescent="0.25">
      <c r="A7" t="s">
        <v>451</v>
      </c>
      <c r="C7" s="18" t="s">
        <v>452</v>
      </c>
      <c r="D7">
        <v>206</v>
      </c>
    </row>
    <row r="8" spans="1:10" x14ac:dyDescent="0.25">
      <c r="A8" s="14">
        <v>206</v>
      </c>
    </row>
    <row r="12" spans="1:10" ht="15.75" x14ac:dyDescent="0.25">
      <c r="A12" t="s">
        <v>453</v>
      </c>
      <c r="C12" s="18" t="s">
        <v>454</v>
      </c>
      <c r="D12" s="14">
        <v>312079</v>
      </c>
    </row>
    <row r="13" spans="1:10" x14ac:dyDescent="0.25">
      <c r="A13" s="14">
        <v>312079</v>
      </c>
    </row>
    <row r="17" spans="1:5" x14ac:dyDescent="0.25">
      <c r="A17" s="17" t="s">
        <v>455</v>
      </c>
      <c r="B17" t="s">
        <v>451</v>
      </c>
    </row>
    <row r="18" spans="1:5" x14ac:dyDescent="0.25">
      <c r="A18" s="19" t="s">
        <v>428</v>
      </c>
      <c r="B18" s="14">
        <v>78</v>
      </c>
    </row>
    <row r="19" spans="1:5" x14ac:dyDescent="0.25">
      <c r="A19" s="19" t="s">
        <v>429</v>
      </c>
      <c r="B19" s="14">
        <v>66</v>
      </c>
    </row>
    <row r="20" spans="1:5" x14ac:dyDescent="0.25">
      <c r="A20" s="19" t="s">
        <v>430</v>
      </c>
      <c r="B20" s="14">
        <v>62</v>
      </c>
    </row>
    <row r="21" spans="1:5" x14ac:dyDescent="0.25">
      <c r="A21" s="19" t="s">
        <v>456</v>
      </c>
      <c r="B21" s="14">
        <v>206</v>
      </c>
    </row>
    <row r="25" spans="1:5" x14ac:dyDescent="0.25">
      <c r="A25" s="17" t="s">
        <v>451</v>
      </c>
      <c r="B25" s="17" t="s">
        <v>457</v>
      </c>
    </row>
    <row r="26" spans="1:5" x14ac:dyDescent="0.25">
      <c r="A26" s="17" t="s">
        <v>455</v>
      </c>
      <c r="B26" t="s">
        <v>428</v>
      </c>
      <c r="C26" t="s">
        <v>430</v>
      </c>
      <c r="D26" t="s">
        <v>429</v>
      </c>
      <c r="E26" t="s">
        <v>456</v>
      </c>
    </row>
    <row r="27" spans="1:5" x14ac:dyDescent="0.25">
      <c r="A27" s="19" t="s">
        <v>440</v>
      </c>
      <c r="B27" s="14">
        <v>14</v>
      </c>
      <c r="C27" s="14">
        <v>12</v>
      </c>
      <c r="D27" s="14">
        <v>15</v>
      </c>
      <c r="E27" s="14">
        <v>41</v>
      </c>
    </row>
    <row r="28" spans="1:5" x14ac:dyDescent="0.25">
      <c r="A28" s="19" t="s">
        <v>439</v>
      </c>
      <c r="B28" s="14">
        <v>13</v>
      </c>
      <c r="C28" s="14">
        <v>12</v>
      </c>
      <c r="D28" s="14">
        <v>16</v>
      </c>
      <c r="E28" s="14">
        <v>41</v>
      </c>
    </row>
    <row r="29" spans="1:5" x14ac:dyDescent="0.25">
      <c r="A29" s="19" t="s">
        <v>438</v>
      </c>
      <c r="B29" s="14">
        <v>16</v>
      </c>
      <c r="C29" s="14">
        <v>15</v>
      </c>
      <c r="D29" s="14">
        <v>13</v>
      </c>
      <c r="E29" s="14">
        <v>44</v>
      </c>
    </row>
    <row r="30" spans="1:5" x14ac:dyDescent="0.25">
      <c r="A30" s="19" t="s">
        <v>437</v>
      </c>
      <c r="B30" s="14">
        <v>24</v>
      </c>
      <c r="C30" s="14">
        <v>16</v>
      </c>
      <c r="D30" s="14">
        <v>14</v>
      </c>
      <c r="E30" s="14">
        <v>54</v>
      </c>
    </row>
    <row r="31" spans="1:5" x14ac:dyDescent="0.25">
      <c r="A31" s="19" t="s">
        <v>441</v>
      </c>
      <c r="B31" s="14">
        <v>11</v>
      </c>
      <c r="C31" s="14">
        <v>7</v>
      </c>
      <c r="D31" s="14">
        <v>8</v>
      </c>
      <c r="E31" s="14">
        <v>26</v>
      </c>
    </row>
    <row r="32" spans="1:5" x14ac:dyDescent="0.25">
      <c r="A32" s="19" t="s">
        <v>456</v>
      </c>
      <c r="B32" s="14">
        <v>78</v>
      </c>
      <c r="C32" s="14">
        <v>62</v>
      </c>
      <c r="D32" s="14">
        <v>66</v>
      </c>
      <c r="E32" s="14">
        <v>206</v>
      </c>
    </row>
    <row r="36" spans="1:18" x14ac:dyDescent="0.25">
      <c r="A36" s="17" t="s">
        <v>451</v>
      </c>
      <c r="B36" s="17" t="s">
        <v>457</v>
      </c>
    </row>
    <row r="37" spans="1:18" x14ac:dyDescent="0.25">
      <c r="A37" s="17" t="s">
        <v>455</v>
      </c>
      <c r="B37" t="s">
        <v>409</v>
      </c>
      <c r="C37" t="s">
        <v>402</v>
      </c>
      <c r="D37" t="s">
        <v>408</v>
      </c>
      <c r="E37" t="s">
        <v>398</v>
      </c>
      <c r="F37" t="s">
        <v>396</v>
      </c>
      <c r="G37" t="s">
        <v>397</v>
      </c>
      <c r="H37" t="s">
        <v>403</v>
      </c>
      <c r="I37" t="s">
        <v>400</v>
      </c>
      <c r="J37" t="s">
        <v>401</v>
      </c>
      <c r="K37" t="s">
        <v>406</v>
      </c>
      <c r="L37" t="s">
        <v>395</v>
      </c>
      <c r="M37" t="s">
        <v>399</v>
      </c>
      <c r="N37" t="s">
        <v>410</v>
      </c>
      <c r="O37" t="s">
        <v>405</v>
      </c>
      <c r="P37" t="s">
        <v>407</v>
      </c>
      <c r="Q37" t="s">
        <v>404</v>
      </c>
      <c r="R37" t="s">
        <v>456</v>
      </c>
    </row>
    <row r="38" spans="1:18" x14ac:dyDescent="0.25">
      <c r="A38" s="19" t="s">
        <v>440</v>
      </c>
      <c r="B38" s="14"/>
      <c r="C38" s="14">
        <v>10</v>
      </c>
      <c r="D38" s="14"/>
      <c r="E38" s="14"/>
      <c r="F38" s="14"/>
      <c r="G38" s="14"/>
      <c r="H38" s="14"/>
      <c r="I38" s="14"/>
      <c r="J38" s="14">
        <v>17</v>
      </c>
      <c r="K38" s="14">
        <v>14</v>
      </c>
      <c r="L38" s="14"/>
      <c r="M38" s="14"/>
      <c r="N38" s="14"/>
      <c r="O38" s="14"/>
      <c r="P38" s="14"/>
      <c r="Q38" s="14"/>
      <c r="R38" s="14">
        <v>41</v>
      </c>
    </row>
    <row r="39" spans="1:18" x14ac:dyDescent="0.25">
      <c r="A39" s="19" t="s">
        <v>439</v>
      </c>
      <c r="B39" s="14"/>
      <c r="C39" s="14"/>
      <c r="D39" s="14">
        <v>11</v>
      </c>
      <c r="E39" s="14"/>
      <c r="F39" s="14"/>
      <c r="G39" s="14"/>
      <c r="H39" s="14"/>
      <c r="I39" s="14">
        <v>17</v>
      </c>
      <c r="J39" s="14"/>
      <c r="K39" s="14"/>
      <c r="L39" s="14"/>
      <c r="M39" s="14">
        <v>13</v>
      </c>
      <c r="N39" s="14"/>
      <c r="O39" s="14"/>
      <c r="P39" s="14"/>
      <c r="Q39" s="14"/>
      <c r="R39" s="14">
        <v>41</v>
      </c>
    </row>
    <row r="40" spans="1:18" x14ac:dyDescent="0.25">
      <c r="A40" s="19" t="s">
        <v>438</v>
      </c>
      <c r="B40" s="14"/>
      <c r="C40" s="14"/>
      <c r="D40" s="14"/>
      <c r="E40" s="14"/>
      <c r="F40" s="14"/>
      <c r="G40" s="14">
        <v>16</v>
      </c>
      <c r="H40" s="14">
        <v>13</v>
      </c>
      <c r="I40" s="14"/>
      <c r="J40" s="14"/>
      <c r="K40" s="14"/>
      <c r="L40" s="14"/>
      <c r="M40" s="14"/>
      <c r="N40" s="14"/>
      <c r="O40" s="14"/>
      <c r="P40" s="14">
        <v>15</v>
      </c>
      <c r="Q40" s="14"/>
      <c r="R40" s="14">
        <v>44</v>
      </c>
    </row>
    <row r="41" spans="1:18" x14ac:dyDescent="0.25">
      <c r="A41" s="19" t="s">
        <v>437</v>
      </c>
      <c r="B41" s="14"/>
      <c r="C41" s="14"/>
      <c r="D41" s="14"/>
      <c r="E41" s="14">
        <v>19</v>
      </c>
      <c r="F41" s="14">
        <v>19</v>
      </c>
      <c r="G41" s="14"/>
      <c r="H41" s="14"/>
      <c r="I41" s="14"/>
      <c r="J41" s="14"/>
      <c r="K41" s="14"/>
      <c r="L41" s="14">
        <v>16</v>
      </c>
      <c r="M41" s="14"/>
      <c r="N41" s="14"/>
      <c r="O41" s="14"/>
      <c r="P41" s="14"/>
      <c r="Q41" s="14"/>
      <c r="R41" s="14">
        <v>54</v>
      </c>
    </row>
    <row r="42" spans="1:18" x14ac:dyDescent="0.25">
      <c r="A42" s="19" t="s">
        <v>441</v>
      </c>
      <c r="B42" s="14">
        <v>6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>
        <v>5</v>
      </c>
      <c r="O42" s="14">
        <v>6</v>
      </c>
      <c r="P42" s="14"/>
      <c r="Q42" s="14">
        <v>9</v>
      </c>
      <c r="R42" s="14">
        <v>26</v>
      </c>
    </row>
    <row r="43" spans="1:18" x14ac:dyDescent="0.25">
      <c r="A43" s="19" t="s">
        <v>456</v>
      </c>
      <c r="B43" s="14">
        <v>6</v>
      </c>
      <c r="C43" s="14">
        <v>10</v>
      </c>
      <c r="D43" s="14">
        <v>11</v>
      </c>
      <c r="E43" s="14">
        <v>19</v>
      </c>
      <c r="F43" s="14">
        <v>19</v>
      </c>
      <c r="G43" s="14">
        <v>16</v>
      </c>
      <c r="H43" s="14">
        <v>13</v>
      </c>
      <c r="I43" s="14">
        <v>17</v>
      </c>
      <c r="J43" s="14">
        <v>17</v>
      </c>
      <c r="K43" s="14">
        <v>14</v>
      </c>
      <c r="L43" s="14">
        <v>16</v>
      </c>
      <c r="M43" s="14">
        <v>13</v>
      </c>
      <c r="N43" s="14">
        <v>5</v>
      </c>
      <c r="O43" s="14">
        <v>6</v>
      </c>
      <c r="P43" s="14">
        <v>15</v>
      </c>
      <c r="Q43" s="14">
        <v>9</v>
      </c>
      <c r="R43" s="14">
        <v>206</v>
      </c>
    </row>
    <row r="48" spans="1:18" x14ac:dyDescent="0.25">
      <c r="A48" s="17" t="s">
        <v>451</v>
      </c>
      <c r="B48" s="17" t="s">
        <v>457</v>
      </c>
    </row>
    <row r="49" spans="1:7" x14ac:dyDescent="0.25">
      <c r="A49" s="17" t="s">
        <v>455</v>
      </c>
      <c r="B49" t="s">
        <v>419</v>
      </c>
      <c r="C49" t="s">
        <v>416</v>
      </c>
      <c r="D49" t="s">
        <v>418</v>
      </c>
      <c r="E49" t="s">
        <v>417</v>
      </c>
      <c r="F49" t="s">
        <v>420</v>
      </c>
      <c r="G49" t="s">
        <v>456</v>
      </c>
    </row>
    <row r="50" spans="1:7" x14ac:dyDescent="0.25">
      <c r="A50" s="19" t="s">
        <v>440</v>
      </c>
      <c r="B50" s="14">
        <v>15</v>
      </c>
      <c r="C50" s="14">
        <v>9</v>
      </c>
      <c r="D50" s="14">
        <v>3</v>
      </c>
      <c r="E50" s="14">
        <v>7</v>
      </c>
      <c r="F50" s="14">
        <v>7</v>
      </c>
      <c r="G50" s="14">
        <v>41</v>
      </c>
    </row>
    <row r="51" spans="1:7" x14ac:dyDescent="0.25">
      <c r="A51" s="19" t="s">
        <v>439</v>
      </c>
      <c r="B51" s="14">
        <v>8</v>
      </c>
      <c r="C51" s="14">
        <v>13</v>
      </c>
      <c r="D51" s="14">
        <v>10</v>
      </c>
      <c r="E51" s="14">
        <v>7</v>
      </c>
      <c r="F51" s="14">
        <v>3</v>
      </c>
      <c r="G51" s="14">
        <v>41</v>
      </c>
    </row>
    <row r="52" spans="1:7" x14ac:dyDescent="0.25">
      <c r="A52" s="19" t="s">
        <v>438</v>
      </c>
      <c r="B52" s="14">
        <v>7</v>
      </c>
      <c r="C52" s="14">
        <v>7</v>
      </c>
      <c r="D52" s="14">
        <v>9</v>
      </c>
      <c r="E52" s="14">
        <v>11</v>
      </c>
      <c r="F52" s="14">
        <v>10</v>
      </c>
      <c r="G52" s="14">
        <v>44</v>
      </c>
    </row>
    <row r="53" spans="1:7" x14ac:dyDescent="0.25">
      <c r="A53" s="19" t="s">
        <v>437</v>
      </c>
      <c r="B53" s="14">
        <v>9</v>
      </c>
      <c r="C53" s="14">
        <v>9</v>
      </c>
      <c r="D53" s="14">
        <v>14</v>
      </c>
      <c r="E53" s="14">
        <v>16</v>
      </c>
      <c r="F53" s="14">
        <v>6</v>
      </c>
      <c r="G53" s="14">
        <v>54</v>
      </c>
    </row>
    <row r="54" spans="1:7" x14ac:dyDescent="0.25">
      <c r="A54" s="19" t="s">
        <v>441</v>
      </c>
      <c r="B54" s="14"/>
      <c r="C54" s="14">
        <v>7</v>
      </c>
      <c r="D54" s="14">
        <v>9</v>
      </c>
      <c r="E54" s="14">
        <v>4</v>
      </c>
      <c r="F54" s="14">
        <v>6</v>
      </c>
      <c r="G54" s="14">
        <v>26</v>
      </c>
    </row>
    <row r="55" spans="1:7" x14ac:dyDescent="0.25">
      <c r="A55" s="19" t="s">
        <v>456</v>
      </c>
      <c r="B55" s="14">
        <v>39</v>
      </c>
      <c r="C55" s="14">
        <v>45</v>
      </c>
      <c r="D55" s="14">
        <v>45</v>
      </c>
      <c r="E55" s="14">
        <v>45</v>
      </c>
      <c r="F55" s="14">
        <v>32</v>
      </c>
      <c r="G55" s="14">
        <v>206</v>
      </c>
    </row>
    <row r="60" spans="1:7" x14ac:dyDescent="0.25">
      <c r="A60" s="17" t="s">
        <v>455</v>
      </c>
      <c r="B60" t="s">
        <v>451</v>
      </c>
    </row>
    <row r="61" spans="1:7" x14ac:dyDescent="0.25">
      <c r="A61" s="19" t="s">
        <v>424</v>
      </c>
      <c r="B61" s="14">
        <v>111</v>
      </c>
    </row>
    <row r="62" spans="1:7" x14ac:dyDescent="0.25">
      <c r="A62" s="19" t="s">
        <v>425</v>
      </c>
      <c r="B62" s="14">
        <v>49</v>
      </c>
    </row>
    <row r="63" spans="1:7" x14ac:dyDescent="0.25">
      <c r="A63" s="19" t="s">
        <v>426</v>
      </c>
      <c r="B63" s="14">
        <v>46</v>
      </c>
    </row>
    <row r="64" spans="1:7" x14ac:dyDescent="0.25">
      <c r="A64" s="19" t="s">
        <v>456</v>
      </c>
      <c r="B64" s="14">
        <v>206</v>
      </c>
    </row>
    <row r="69" spans="1:2" x14ac:dyDescent="0.25">
      <c r="A69" s="17" t="s">
        <v>455</v>
      </c>
      <c r="B69" t="s">
        <v>453</v>
      </c>
    </row>
    <row r="70" spans="1:2" x14ac:dyDescent="0.25">
      <c r="A70" s="19" t="s">
        <v>429</v>
      </c>
      <c r="B70" s="14">
        <v>128811.5</v>
      </c>
    </row>
    <row r="71" spans="1:2" x14ac:dyDescent="0.25">
      <c r="A71" s="19" t="s">
        <v>428</v>
      </c>
      <c r="B71" s="14">
        <v>113236.5</v>
      </c>
    </row>
    <row r="72" spans="1:2" x14ac:dyDescent="0.25">
      <c r="A72" s="19" t="s">
        <v>430</v>
      </c>
      <c r="B72" s="14">
        <v>70031</v>
      </c>
    </row>
    <row r="73" spans="1:2" x14ac:dyDescent="0.25">
      <c r="A73" s="19" t="s">
        <v>456</v>
      </c>
      <c r="B73" s="14">
        <v>312079</v>
      </c>
    </row>
    <row r="78" spans="1:2" x14ac:dyDescent="0.25">
      <c r="A78" s="17" t="s">
        <v>455</v>
      </c>
      <c r="B78" t="s">
        <v>453</v>
      </c>
    </row>
    <row r="79" spans="1:2" x14ac:dyDescent="0.25">
      <c r="A79" s="19" t="s">
        <v>437</v>
      </c>
      <c r="B79" s="14">
        <v>110540</v>
      </c>
    </row>
    <row r="80" spans="1:2" x14ac:dyDescent="0.25">
      <c r="A80" s="19" t="s">
        <v>439</v>
      </c>
      <c r="B80" s="14">
        <v>66169.5</v>
      </c>
    </row>
    <row r="81" spans="1:2" x14ac:dyDescent="0.25">
      <c r="A81" s="19" t="s">
        <v>438</v>
      </c>
      <c r="B81" s="14">
        <v>49459.5</v>
      </c>
    </row>
    <row r="82" spans="1:2" x14ac:dyDescent="0.25">
      <c r="A82" s="19" t="s">
        <v>440</v>
      </c>
      <c r="B82" s="14">
        <v>44769.5</v>
      </c>
    </row>
    <row r="83" spans="1:2" x14ac:dyDescent="0.25">
      <c r="A83" s="19" t="s">
        <v>441</v>
      </c>
      <c r="B83" s="14">
        <v>41140.5</v>
      </c>
    </row>
    <row r="84" spans="1:2" x14ac:dyDescent="0.25">
      <c r="A84" s="19" t="s">
        <v>456</v>
      </c>
      <c r="B84" s="14">
        <v>312079</v>
      </c>
    </row>
    <row r="88" spans="1:2" x14ac:dyDescent="0.25">
      <c r="A88" s="17" t="s">
        <v>455</v>
      </c>
      <c r="B88" t="s">
        <v>453</v>
      </c>
    </row>
    <row r="89" spans="1:2" x14ac:dyDescent="0.25">
      <c r="A89" s="19" t="s">
        <v>458</v>
      </c>
      <c r="B89" s="14"/>
    </row>
    <row r="90" spans="1:2" x14ac:dyDescent="0.25">
      <c r="A90" s="20" t="s">
        <v>459</v>
      </c>
      <c r="B90" s="14"/>
    </row>
    <row r="91" spans="1:2" x14ac:dyDescent="0.25">
      <c r="A91" s="21" t="s">
        <v>460</v>
      </c>
      <c r="B91" s="14">
        <v>57236.5</v>
      </c>
    </row>
    <row r="92" spans="1:2" x14ac:dyDescent="0.25">
      <c r="A92" s="20" t="s">
        <v>461</v>
      </c>
      <c r="B92" s="14"/>
    </row>
    <row r="93" spans="1:2" x14ac:dyDescent="0.25">
      <c r="A93" s="21" t="s">
        <v>462</v>
      </c>
      <c r="B93" s="14">
        <v>23234</v>
      </c>
    </row>
    <row r="94" spans="1:2" x14ac:dyDescent="0.25">
      <c r="A94" s="21" t="s">
        <v>463</v>
      </c>
      <c r="B94" s="14">
        <v>16603</v>
      </c>
    </row>
    <row r="95" spans="1:2" x14ac:dyDescent="0.25">
      <c r="A95" s="21" t="s">
        <v>464</v>
      </c>
      <c r="B95" s="14">
        <v>18671</v>
      </c>
    </row>
    <row r="96" spans="1:2" x14ac:dyDescent="0.25">
      <c r="A96" s="20" t="s">
        <v>465</v>
      </c>
      <c r="B96" s="14"/>
    </row>
    <row r="97" spans="1:2" x14ac:dyDescent="0.25">
      <c r="A97" s="21" t="s">
        <v>466</v>
      </c>
      <c r="B97" s="14">
        <v>19865.5</v>
      </c>
    </row>
    <row r="98" spans="1:2" x14ac:dyDescent="0.25">
      <c r="A98" s="21" t="s">
        <v>467</v>
      </c>
      <c r="B98" s="14">
        <v>25562</v>
      </c>
    </row>
    <row r="99" spans="1:2" x14ac:dyDescent="0.25">
      <c r="A99" s="21" t="s">
        <v>468</v>
      </c>
      <c r="B99" s="14">
        <v>20943</v>
      </c>
    </row>
    <row r="100" spans="1:2" x14ac:dyDescent="0.25">
      <c r="A100" s="19" t="s">
        <v>469</v>
      </c>
      <c r="B100" s="14"/>
    </row>
    <row r="101" spans="1:2" x14ac:dyDescent="0.25">
      <c r="A101" s="20" t="s">
        <v>470</v>
      </c>
      <c r="B101" s="14"/>
    </row>
    <row r="102" spans="1:2" x14ac:dyDescent="0.25">
      <c r="A102" s="21" t="s">
        <v>471</v>
      </c>
      <c r="B102" s="14">
        <v>34610</v>
      </c>
    </row>
    <row r="103" spans="1:2" x14ac:dyDescent="0.25">
      <c r="A103" s="21" t="s">
        <v>472</v>
      </c>
      <c r="B103" s="14">
        <v>32853</v>
      </c>
    </row>
    <row r="104" spans="1:2" x14ac:dyDescent="0.25">
      <c r="A104" s="21" t="s">
        <v>473</v>
      </c>
      <c r="B104" s="14">
        <v>10954</v>
      </c>
    </row>
    <row r="105" spans="1:2" x14ac:dyDescent="0.25">
      <c r="A105" s="20" t="s">
        <v>459</v>
      </c>
      <c r="B105" s="14"/>
    </row>
    <row r="106" spans="1:2" x14ac:dyDescent="0.25">
      <c r="A106" s="21" t="s">
        <v>474</v>
      </c>
      <c r="B106" s="14">
        <v>42538.5</v>
      </c>
    </row>
    <row r="107" spans="1:2" x14ac:dyDescent="0.25">
      <c r="A107" s="21" t="s">
        <v>475</v>
      </c>
      <c r="B107" s="14">
        <v>9008.5</v>
      </c>
    </row>
    <row r="108" spans="1:2" x14ac:dyDescent="0.25">
      <c r="A108" s="19" t="s">
        <v>456</v>
      </c>
      <c r="B108" s="14">
        <v>312079</v>
      </c>
    </row>
  </sheetData>
  <pageMargins left="0.7" right="0.7" top="0.75" bottom="0.75" header="0.3" footer="0.3"/>
  <pageSetup orientation="portrait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51" zoomScaleNormal="51" workbookViewId="0">
      <selection activeCell="H8" sqref="H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9"/>
  <sheetViews>
    <sheetView tabSelected="1" zoomScaleNormal="100" workbookViewId="0">
      <pane ySplit="1" topLeftCell="A15" activePane="bottomLeft" state="frozen"/>
      <selection pane="bottomLeft" activeCell="B1" sqref="B1:B1048576"/>
    </sheetView>
  </sheetViews>
  <sheetFormatPr defaultRowHeight="15" x14ac:dyDescent="0.25"/>
  <cols>
    <col min="1" max="1" width="12.7109375" customWidth="1"/>
    <col min="2" max="2" width="23.7109375" style="2" bestFit="1" customWidth="1"/>
    <col min="3" max="3" width="12.42578125" bestFit="1" customWidth="1"/>
    <col min="4" max="4" width="24.5703125" style="5" bestFit="1" customWidth="1"/>
    <col min="5" max="5" width="14.28515625" style="5" bestFit="1" customWidth="1"/>
    <col min="6" max="6" width="8.28515625" bestFit="1" customWidth="1"/>
    <col min="7" max="7" width="7.7109375" style="5" bestFit="1" customWidth="1"/>
    <col min="8" max="8" width="8.7109375" style="7" bestFit="1" customWidth="1"/>
    <col min="9" max="9" width="14.5703125" style="7" bestFit="1" customWidth="1"/>
    <col min="10" max="10" width="7.5703125" style="6" bestFit="1" customWidth="1"/>
    <col min="11" max="11" width="11" style="6" bestFit="1" customWidth="1"/>
    <col min="12" max="12" width="11" style="6" customWidth="1"/>
    <col min="13" max="13" width="17.28515625" style="5" bestFit="1" customWidth="1"/>
    <col min="14" max="14" width="14.7109375" style="5" customWidth="1"/>
  </cols>
  <sheetData>
    <row r="1" spans="1:17" s="12" customFormat="1" x14ac:dyDescent="0.25">
      <c r="A1" s="8" t="s">
        <v>0</v>
      </c>
      <c r="B1" s="13" t="s">
        <v>1</v>
      </c>
      <c r="C1" s="8" t="s">
        <v>2</v>
      </c>
      <c r="D1" s="9" t="s">
        <v>436</v>
      </c>
      <c r="E1" s="9" t="s">
        <v>4</v>
      </c>
      <c r="F1" s="8" t="s">
        <v>5</v>
      </c>
      <c r="G1" s="9" t="s">
        <v>6</v>
      </c>
      <c r="H1" s="10" t="s">
        <v>7</v>
      </c>
      <c r="I1" s="10" t="s">
        <v>448</v>
      </c>
      <c r="J1" s="11" t="s">
        <v>8</v>
      </c>
      <c r="K1" s="11" t="s">
        <v>447</v>
      </c>
      <c r="L1" s="11" t="s">
        <v>449</v>
      </c>
      <c r="M1" s="9" t="s">
        <v>9</v>
      </c>
      <c r="N1" s="9" t="s">
        <v>10</v>
      </c>
    </row>
    <row r="2" spans="1:17" x14ac:dyDescent="0.25">
      <c r="A2" t="s">
        <v>11</v>
      </c>
      <c r="B2" s="2">
        <v>45568</v>
      </c>
      <c r="C2" t="s">
        <v>209</v>
      </c>
      <c r="D2" s="14" t="s">
        <v>437</v>
      </c>
      <c r="E2" s="5" t="s">
        <v>395</v>
      </c>
      <c r="F2" t="s">
        <v>444</v>
      </c>
      <c r="G2" s="5" t="s">
        <v>416</v>
      </c>
      <c r="H2" s="7">
        <v>5</v>
      </c>
      <c r="I2" s="7" t="str">
        <f>IF(H2&lt;=5,"Small",IF(H2&lt;=50,"Normal","Big"))</f>
        <v>Small</v>
      </c>
      <c r="J2" s="6">
        <v>100</v>
      </c>
      <c r="K2" s="6">
        <f>(H2*J2)</f>
        <v>500</v>
      </c>
      <c r="L2" s="6" t="str">
        <f>IF(K2&lt;=500,"Low-Ticket",IF(K2&lt;=2500,"Normal-Ticket","High-Ticket"))</f>
        <v>Low-Ticket</v>
      </c>
      <c r="M2" s="5" t="s">
        <v>424</v>
      </c>
      <c r="N2" s="5" t="s">
        <v>428</v>
      </c>
    </row>
    <row r="3" spans="1:17" x14ac:dyDescent="0.25">
      <c r="A3" t="s">
        <v>12</v>
      </c>
      <c r="B3" s="2">
        <v>45692</v>
      </c>
      <c r="C3" t="s">
        <v>210</v>
      </c>
      <c r="D3" s="14" t="s">
        <v>437</v>
      </c>
      <c r="E3" s="5" t="s">
        <v>396</v>
      </c>
      <c r="F3" t="s">
        <v>443</v>
      </c>
      <c r="G3" s="5" t="s">
        <v>416</v>
      </c>
      <c r="H3" s="7">
        <v>100</v>
      </c>
      <c r="I3" s="7" t="str">
        <f t="shared" ref="I3:I66" si="0">IF(H3&lt;=5,"Small",IF(H3&lt;=50,"Normal","Big"))</f>
        <v>Big</v>
      </c>
      <c r="J3" s="6">
        <v>80</v>
      </c>
      <c r="K3" s="6">
        <f t="shared" ref="K3:K66" si="1">(H3*J3)</f>
        <v>8000</v>
      </c>
      <c r="L3" s="6" t="str">
        <f t="shared" ref="L3:L66" si="2">IF(K3&lt;=500,"Low-Ticket",IF(K3&lt;=2500,"Normal-Ticket","High-Ticket"))</f>
        <v>High-Ticket</v>
      </c>
      <c r="M3" s="5" t="s">
        <v>424</v>
      </c>
      <c r="N3" s="5" t="s">
        <v>428</v>
      </c>
    </row>
    <row r="4" spans="1:17" x14ac:dyDescent="0.25">
      <c r="A4" t="s">
        <v>13</v>
      </c>
      <c r="B4" s="2">
        <v>45616</v>
      </c>
      <c r="C4" t="s">
        <v>211</v>
      </c>
      <c r="D4" s="14" t="s">
        <v>438</v>
      </c>
      <c r="E4" s="5" t="s">
        <v>397</v>
      </c>
      <c r="F4" t="s">
        <v>444</v>
      </c>
      <c r="G4" s="5" t="s">
        <v>416</v>
      </c>
      <c r="H4" s="7">
        <v>3</v>
      </c>
      <c r="I4" s="7" t="str">
        <f t="shared" si="0"/>
        <v>Small</v>
      </c>
      <c r="J4" s="6">
        <v>100</v>
      </c>
      <c r="K4" s="6">
        <f t="shared" si="1"/>
        <v>300</v>
      </c>
      <c r="L4" s="6" t="str">
        <f t="shared" si="2"/>
        <v>Low-Ticket</v>
      </c>
      <c r="M4" s="5" t="s">
        <v>425</v>
      </c>
      <c r="N4" s="5" t="s">
        <v>429</v>
      </c>
    </row>
    <row r="5" spans="1:17" x14ac:dyDescent="0.25">
      <c r="A5" t="s">
        <v>14</v>
      </c>
      <c r="B5" s="2">
        <v>45786</v>
      </c>
      <c r="C5" t="s">
        <v>212</v>
      </c>
      <c r="D5" s="14" t="s">
        <v>437</v>
      </c>
      <c r="E5" s="5" t="s">
        <v>398</v>
      </c>
      <c r="F5" t="s">
        <v>445</v>
      </c>
      <c r="G5" s="5" t="s">
        <v>417</v>
      </c>
      <c r="H5" s="7">
        <v>4</v>
      </c>
      <c r="I5" s="7" t="str">
        <f t="shared" si="0"/>
        <v>Small</v>
      </c>
      <c r="J5" s="6">
        <v>75.5</v>
      </c>
      <c r="K5" s="6">
        <f t="shared" si="1"/>
        <v>302</v>
      </c>
      <c r="L5" s="6" t="str">
        <f t="shared" si="2"/>
        <v>Low-Ticket</v>
      </c>
      <c r="M5" s="5" t="s">
        <v>426</v>
      </c>
      <c r="N5" s="5" t="s">
        <v>428</v>
      </c>
    </row>
    <row r="6" spans="1:17" x14ac:dyDescent="0.25">
      <c r="A6" t="s">
        <v>15</v>
      </c>
      <c r="B6" s="2">
        <v>45638</v>
      </c>
      <c r="C6" t="s">
        <v>213</v>
      </c>
      <c r="D6" s="14" t="s">
        <v>439</v>
      </c>
      <c r="E6" s="5" t="s">
        <v>399</v>
      </c>
      <c r="F6" t="s">
        <v>443</v>
      </c>
      <c r="G6" s="5" t="s">
        <v>418</v>
      </c>
      <c r="H6" s="7">
        <v>4</v>
      </c>
      <c r="I6" s="7" t="str">
        <f t="shared" si="0"/>
        <v>Small</v>
      </c>
      <c r="J6" s="6">
        <v>80</v>
      </c>
      <c r="K6" s="6">
        <f t="shared" si="1"/>
        <v>320</v>
      </c>
      <c r="L6" s="6" t="str">
        <f t="shared" si="2"/>
        <v>Low-Ticket</v>
      </c>
      <c r="M6" s="5" t="s">
        <v>425</v>
      </c>
      <c r="N6" s="5" t="s">
        <v>430</v>
      </c>
    </row>
    <row r="7" spans="1:17" x14ac:dyDescent="0.25">
      <c r="A7" t="s">
        <v>16</v>
      </c>
      <c r="B7" s="2">
        <v>45782</v>
      </c>
      <c r="C7" t="s">
        <v>214</v>
      </c>
      <c r="D7" s="14" t="s">
        <v>437</v>
      </c>
      <c r="E7" s="5" t="s">
        <v>395</v>
      </c>
      <c r="F7" t="s">
        <v>446</v>
      </c>
      <c r="G7" s="5" t="s">
        <v>418</v>
      </c>
      <c r="H7" s="7">
        <v>3</v>
      </c>
      <c r="I7" s="7" t="str">
        <f t="shared" si="0"/>
        <v>Small</v>
      </c>
      <c r="J7" s="6">
        <v>100</v>
      </c>
      <c r="K7" s="6">
        <f t="shared" si="1"/>
        <v>300</v>
      </c>
      <c r="L7" s="6" t="str">
        <f t="shared" si="2"/>
        <v>Low-Ticket</v>
      </c>
      <c r="M7" s="5" t="s">
        <v>426</v>
      </c>
      <c r="N7" s="5" t="s">
        <v>430</v>
      </c>
    </row>
    <row r="8" spans="1:17" x14ac:dyDescent="0.25">
      <c r="A8" t="s">
        <v>17</v>
      </c>
      <c r="B8" s="2">
        <v>45640</v>
      </c>
      <c r="C8" t="s">
        <v>215</v>
      </c>
      <c r="D8" s="14" t="s">
        <v>439</v>
      </c>
      <c r="E8" s="5" t="s">
        <v>400</v>
      </c>
      <c r="F8" t="s">
        <v>442</v>
      </c>
      <c r="G8" s="5" t="s">
        <v>418</v>
      </c>
      <c r="H8" s="7">
        <v>5</v>
      </c>
      <c r="I8" s="7" t="str">
        <f t="shared" si="0"/>
        <v>Small</v>
      </c>
      <c r="J8" s="6">
        <v>50</v>
      </c>
      <c r="K8" s="6">
        <f t="shared" si="1"/>
        <v>250</v>
      </c>
      <c r="L8" s="6" t="str">
        <f t="shared" si="2"/>
        <v>Low-Ticket</v>
      </c>
      <c r="M8" s="5" t="s">
        <v>424</v>
      </c>
      <c r="N8" s="5" t="s">
        <v>429</v>
      </c>
      <c r="Q8" s="2"/>
    </row>
    <row r="9" spans="1:17" x14ac:dyDescent="0.25">
      <c r="A9" t="s">
        <v>18</v>
      </c>
      <c r="B9" s="2">
        <v>45490</v>
      </c>
      <c r="C9" t="s">
        <v>216</v>
      </c>
      <c r="D9" s="14" t="s">
        <v>440</v>
      </c>
      <c r="E9" s="5" t="s">
        <v>401</v>
      </c>
      <c r="F9" t="s">
        <v>443</v>
      </c>
      <c r="G9" s="5" t="s">
        <v>416</v>
      </c>
      <c r="H9" s="7">
        <v>5</v>
      </c>
      <c r="I9" s="7" t="str">
        <f t="shared" si="0"/>
        <v>Small</v>
      </c>
      <c r="J9" s="6">
        <v>80</v>
      </c>
      <c r="K9" s="6">
        <f t="shared" si="1"/>
        <v>400</v>
      </c>
      <c r="L9" s="6" t="str">
        <f t="shared" si="2"/>
        <v>Low-Ticket</v>
      </c>
      <c r="M9" s="5" t="s">
        <v>426</v>
      </c>
      <c r="N9" s="5" t="s">
        <v>428</v>
      </c>
    </row>
    <row r="10" spans="1:17" x14ac:dyDescent="0.25">
      <c r="A10" t="s">
        <v>19</v>
      </c>
      <c r="B10" s="2">
        <v>45606</v>
      </c>
      <c r="C10" t="s">
        <v>217</v>
      </c>
      <c r="D10" s="14" t="s">
        <v>440</v>
      </c>
      <c r="E10" s="5" t="s">
        <v>402</v>
      </c>
      <c r="F10" t="s">
        <v>446</v>
      </c>
      <c r="G10" s="5" t="s">
        <v>419</v>
      </c>
      <c r="H10" s="7">
        <v>3</v>
      </c>
      <c r="I10" s="7" t="str">
        <f t="shared" si="0"/>
        <v>Small</v>
      </c>
      <c r="J10" s="6">
        <v>50</v>
      </c>
      <c r="K10" s="6">
        <f t="shared" si="1"/>
        <v>150</v>
      </c>
      <c r="L10" s="6" t="str">
        <f t="shared" si="2"/>
        <v>Low-Ticket</v>
      </c>
      <c r="M10" s="5" t="s">
        <v>424</v>
      </c>
      <c r="N10" s="5" t="s">
        <v>429</v>
      </c>
    </row>
    <row r="11" spans="1:17" x14ac:dyDescent="0.25">
      <c r="A11" t="s">
        <v>20</v>
      </c>
      <c r="B11" s="2">
        <v>45445</v>
      </c>
      <c r="C11" t="s">
        <v>218</v>
      </c>
      <c r="D11" s="14" t="s">
        <v>437</v>
      </c>
      <c r="E11" s="5" t="s">
        <v>396</v>
      </c>
      <c r="F11" t="s">
        <v>445</v>
      </c>
      <c r="G11" s="5" t="s">
        <v>418</v>
      </c>
      <c r="H11" s="7">
        <v>5</v>
      </c>
      <c r="I11" s="7" t="str">
        <f t="shared" si="0"/>
        <v>Small</v>
      </c>
      <c r="J11" s="6">
        <v>100</v>
      </c>
      <c r="K11" s="6">
        <f t="shared" si="1"/>
        <v>500</v>
      </c>
      <c r="L11" s="6" t="str">
        <f t="shared" si="2"/>
        <v>Low-Ticket</v>
      </c>
      <c r="M11" s="5" t="s">
        <v>426</v>
      </c>
      <c r="N11" s="5" t="s">
        <v>429</v>
      </c>
    </row>
    <row r="12" spans="1:17" x14ac:dyDescent="0.25">
      <c r="A12" t="s">
        <v>22</v>
      </c>
      <c r="B12" s="2">
        <v>45586</v>
      </c>
      <c r="C12" t="s">
        <v>219</v>
      </c>
      <c r="D12" s="14" t="s">
        <v>440</v>
      </c>
      <c r="E12" s="5" t="s">
        <v>401</v>
      </c>
      <c r="F12" t="s">
        <v>445</v>
      </c>
      <c r="G12" s="5" t="s">
        <v>416</v>
      </c>
      <c r="H12" s="7">
        <v>1</v>
      </c>
      <c r="I12" s="7" t="str">
        <f t="shared" si="0"/>
        <v>Small</v>
      </c>
      <c r="J12" s="6">
        <v>75.5</v>
      </c>
      <c r="K12" s="6">
        <f t="shared" si="1"/>
        <v>75.5</v>
      </c>
      <c r="L12" s="6" t="str">
        <f t="shared" si="2"/>
        <v>Low-Ticket</v>
      </c>
      <c r="M12" s="5" t="s">
        <v>425</v>
      </c>
      <c r="N12" s="5" t="s">
        <v>429</v>
      </c>
    </row>
    <row r="13" spans="1:17" x14ac:dyDescent="0.25">
      <c r="A13" t="s">
        <v>23</v>
      </c>
      <c r="B13" s="2">
        <v>45450</v>
      </c>
      <c r="C13" t="s">
        <v>220</v>
      </c>
      <c r="D13" s="14" t="s">
        <v>438</v>
      </c>
      <c r="E13" s="5" t="s">
        <v>403</v>
      </c>
      <c r="F13" t="s">
        <v>445</v>
      </c>
      <c r="G13" s="5" t="s">
        <v>419</v>
      </c>
      <c r="H13" s="7">
        <v>2</v>
      </c>
      <c r="I13" s="7" t="str">
        <f t="shared" si="0"/>
        <v>Small</v>
      </c>
      <c r="J13" s="6">
        <v>50</v>
      </c>
      <c r="K13" s="6">
        <f t="shared" si="1"/>
        <v>100</v>
      </c>
      <c r="L13" s="6" t="str">
        <f t="shared" si="2"/>
        <v>Low-Ticket</v>
      </c>
      <c r="M13" s="5" t="s">
        <v>426</v>
      </c>
      <c r="N13" s="5" t="s">
        <v>428</v>
      </c>
    </row>
    <row r="14" spans="1:17" x14ac:dyDescent="0.25">
      <c r="A14" t="s">
        <v>24</v>
      </c>
      <c r="B14" s="2">
        <v>45454</v>
      </c>
      <c r="C14" t="s">
        <v>221</v>
      </c>
      <c r="D14" s="14" t="s">
        <v>437</v>
      </c>
      <c r="E14" s="5" t="s">
        <v>396</v>
      </c>
      <c r="F14" t="s">
        <v>445</v>
      </c>
      <c r="G14" s="5" t="s">
        <v>420</v>
      </c>
      <c r="H14" s="7">
        <v>2</v>
      </c>
      <c r="I14" s="7" t="str">
        <f t="shared" si="0"/>
        <v>Small</v>
      </c>
      <c r="J14" s="6">
        <v>100</v>
      </c>
      <c r="K14" s="6">
        <f t="shared" si="1"/>
        <v>200</v>
      </c>
      <c r="L14" s="6" t="str">
        <f t="shared" si="2"/>
        <v>Low-Ticket</v>
      </c>
      <c r="M14" s="5" t="s">
        <v>424</v>
      </c>
      <c r="N14" s="5" t="s">
        <v>428</v>
      </c>
    </row>
    <row r="15" spans="1:17" x14ac:dyDescent="0.25">
      <c r="A15" t="s">
        <v>25</v>
      </c>
      <c r="B15" s="2">
        <v>45675</v>
      </c>
      <c r="C15" t="s">
        <v>222</v>
      </c>
      <c r="D15" s="14" t="s">
        <v>441</v>
      </c>
      <c r="E15" s="5" t="s">
        <v>404</v>
      </c>
      <c r="F15" t="s">
        <v>445</v>
      </c>
      <c r="G15" s="5" t="s">
        <v>420</v>
      </c>
      <c r="H15" s="7">
        <v>100</v>
      </c>
      <c r="I15" s="7" t="str">
        <f t="shared" si="0"/>
        <v>Big</v>
      </c>
      <c r="J15" s="6">
        <v>100</v>
      </c>
      <c r="K15" s="6">
        <f t="shared" si="1"/>
        <v>10000</v>
      </c>
      <c r="L15" s="6" t="str">
        <f t="shared" si="2"/>
        <v>High-Ticket</v>
      </c>
      <c r="M15" s="5" t="s">
        <v>424</v>
      </c>
      <c r="N15" s="5" t="s">
        <v>429</v>
      </c>
    </row>
    <row r="16" spans="1:17" x14ac:dyDescent="0.25">
      <c r="A16" t="s">
        <v>26</v>
      </c>
      <c r="B16" s="2">
        <v>45496</v>
      </c>
      <c r="C16" t="s">
        <v>223</v>
      </c>
      <c r="D16" s="14" t="s">
        <v>439</v>
      </c>
      <c r="E16" s="5" t="s">
        <v>400</v>
      </c>
      <c r="F16" t="s">
        <v>446</v>
      </c>
      <c r="G16" s="5" t="s">
        <v>418</v>
      </c>
      <c r="H16" s="7">
        <v>1</v>
      </c>
      <c r="I16" s="7" t="str">
        <f t="shared" si="0"/>
        <v>Small</v>
      </c>
      <c r="J16" s="6">
        <v>80</v>
      </c>
      <c r="K16" s="6">
        <f t="shared" si="1"/>
        <v>80</v>
      </c>
      <c r="L16" s="6" t="str">
        <f t="shared" si="2"/>
        <v>Low-Ticket</v>
      </c>
      <c r="M16" s="5" t="s">
        <v>425</v>
      </c>
      <c r="N16" s="5" t="s">
        <v>428</v>
      </c>
    </row>
    <row r="17" spans="1:14" x14ac:dyDescent="0.25">
      <c r="A17" t="s">
        <v>27</v>
      </c>
      <c r="B17" s="2">
        <v>45498</v>
      </c>
      <c r="C17" t="s">
        <v>224</v>
      </c>
      <c r="D17" s="14" t="s">
        <v>440</v>
      </c>
      <c r="E17" s="5" t="s">
        <v>401</v>
      </c>
      <c r="F17" t="s">
        <v>442</v>
      </c>
      <c r="G17" s="5" t="s">
        <v>420</v>
      </c>
      <c r="H17" s="7">
        <v>2</v>
      </c>
      <c r="I17" s="7" t="str">
        <f t="shared" si="0"/>
        <v>Small</v>
      </c>
      <c r="J17" s="6">
        <v>100</v>
      </c>
      <c r="K17" s="6">
        <f t="shared" si="1"/>
        <v>200</v>
      </c>
      <c r="L17" s="6" t="str">
        <f t="shared" si="2"/>
        <v>Low-Ticket</v>
      </c>
      <c r="M17" s="5" t="s">
        <v>425</v>
      </c>
      <c r="N17" s="5" t="s">
        <v>428</v>
      </c>
    </row>
    <row r="18" spans="1:14" x14ac:dyDescent="0.25">
      <c r="A18" t="s">
        <v>28</v>
      </c>
      <c r="B18" s="2">
        <v>45613</v>
      </c>
      <c r="C18" t="s">
        <v>225</v>
      </c>
      <c r="D18" s="14" t="s">
        <v>441</v>
      </c>
      <c r="E18" s="5" t="s">
        <v>405</v>
      </c>
      <c r="F18" t="s">
        <v>445</v>
      </c>
      <c r="G18" s="5" t="s">
        <v>418</v>
      </c>
      <c r="H18" s="7">
        <v>4</v>
      </c>
      <c r="I18" s="7" t="str">
        <f t="shared" si="0"/>
        <v>Small</v>
      </c>
      <c r="J18" s="6">
        <v>75.5</v>
      </c>
      <c r="K18" s="6">
        <f t="shared" si="1"/>
        <v>302</v>
      </c>
      <c r="L18" s="6" t="str">
        <f t="shared" si="2"/>
        <v>Low-Ticket</v>
      </c>
      <c r="M18" s="5" t="s">
        <v>426</v>
      </c>
      <c r="N18" s="5" t="s">
        <v>428</v>
      </c>
    </row>
    <row r="19" spans="1:14" x14ac:dyDescent="0.25">
      <c r="A19" t="s">
        <v>29</v>
      </c>
      <c r="B19" s="2">
        <v>45772</v>
      </c>
      <c r="C19" t="s">
        <v>226</v>
      </c>
      <c r="D19" s="14" t="s">
        <v>440</v>
      </c>
      <c r="E19" s="5" t="s">
        <v>406</v>
      </c>
      <c r="F19" t="s">
        <v>446</v>
      </c>
      <c r="G19" s="5" t="s">
        <v>419</v>
      </c>
      <c r="H19" s="7">
        <v>3</v>
      </c>
      <c r="I19" s="7" t="str">
        <f t="shared" si="0"/>
        <v>Small</v>
      </c>
      <c r="J19" s="6">
        <v>50</v>
      </c>
      <c r="K19" s="6">
        <f t="shared" si="1"/>
        <v>150</v>
      </c>
      <c r="L19" s="6" t="str">
        <f t="shared" si="2"/>
        <v>Low-Ticket</v>
      </c>
      <c r="M19" s="5" t="s">
        <v>424</v>
      </c>
      <c r="N19" s="5" t="s">
        <v>429</v>
      </c>
    </row>
    <row r="20" spans="1:14" x14ac:dyDescent="0.25">
      <c r="A20" t="s">
        <v>30</v>
      </c>
      <c r="B20" s="2">
        <v>45713</v>
      </c>
      <c r="C20" t="s">
        <v>227</v>
      </c>
      <c r="D20" s="14" t="s">
        <v>437</v>
      </c>
      <c r="E20" s="5" t="s">
        <v>398</v>
      </c>
      <c r="F20" t="s">
        <v>444</v>
      </c>
      <c r="G20" s="5" t="s">
        <v>420</v>
      </c>
      <c r="H20" s="7">
        <f>21</f>
        <v>21</v>
      </c>
      <c r="I20" s="7" t="str">
        <f t="shared" si="0"/>
        <v>Normal</v>
      </c>
      <c r="J20" s="6">
        <v>50</v>
      </c>
      <c r="K20" s="6">
        <f t="shared" si="1"/>
        <v>1050</v>
      </c>
      <c r="L20" s="6" t="str">
        <f t="shared" si="2"/>
        <v>Normal-Ticket</v>
      </c>
      <c r="M20" s="5" t="s">
        <v>424</v>
      </c>
      <c r="N20" s="5" t="s">
        <v>430</v>
      </c>
    </row>
    <row r="21" spans="1:14" x14ac:dyDescent="0.25">
      <c r="A21" t="s">
        <v>31</v>
      </c>
      <c r="B21" s="2">
        <v>45630</v>
      </c>
      <c r="C21" t="s">
        <v>228</v>
      </c>
      <c r="D21" s="14" t="s">
        <v>437</v>
      </c>
      <c r="E21" s="5" t="s">
        <v>395</v>
      </c>
      <c r="F21" t="s">
        <v>445</v>
      </c>
      <c r="G21" s="5" t="s">
        <v>418</v>
      </c>
      <c r="H21" s="7">
        <v>4</v>
      </c>
      <c r="I21" s="7" t="str">
        <f t="shared" si="0"/>
        <v>Small</v>
      </c>
      <c r="J21" s="6">
        <v>75.5</v>
      </c>
      <c r="K21" s="6">
        <f t="shared" si="1"/>
        <v>302</v>
      </c>
      <c r="L21" s="6" t="str">
        <f t="shared" si="2"/>
        <v>Low-Ticket</v>
      </c>
      <c r="M21" s="5" t="s">
        <v>424</v>
      </c>
      <c r="N21" s="5" t="s">
        <v>430</v>
      </c>
    </row>
    <row r="22" spans="1:14" x14ac:dyDescent="0.25">
      <c r="A22" t="s">
        <v>32</v>
      </c>
      <c r="B22" s="2">
        <v>45581</v>
      </c>
      <c r="C22" t="s">
        <v>229</v>
      </c>
      <c r="D22" s="14" t="s">
        <v>437</v>
      </c>
      <c r="E22" s="5" t="s">
        <v>396</v>
      </c>
      <c r="F22" t="s">
        <v>444</v>
      </c>
      <c r="G22" s="5" t="s">
        <v>418</v>
      </c>
      <c r="H22" s="7">
        <v>4</v>
      </c>
      <c r="I22" s="7" t="str">
        <f t="shared" si="0"/>
        <v>Small</v>
      </c>
      <c r="J22" s="6">
        <v>100</v>
      </c>
      <c r="K22" s="6">
        <f t="shared" si="1"/>
        <v>400</v>
      </c>
      <c r="L22" s="6" t="str">
        <f t="shared" si="2"/>
        <v>Low-Ticket</v>
      </c>
      <c r="M22" s="5" t="s">
        <v>424</v>
      </c>
      <c r="N22" s="5" t="s">
        <v>430</v>
      </c>
    </row>
    <row r="23" spans="1:14" x14ac:dyDescent="0.25">
      <c r="A23" t="s">
        <v>33</v>
      </c>
      <c r="B23" s="2">
        <v>45671</v>
      </c>
      <c r="C23" t="s">
        <v>230</v>
      </c>
      <c r="D23" s="14" t="s">
        <v>438</v>
      </c>
      <c r="E23" s="5" t="s">
        <v>397</v>
      </c>
      <c r="F23" t="s">
        <v>444</v>
      </c>
      <c r="G23" s="5" t="s">
        <v>418</v>
      </c>
      <c r="H23" s="7">
        <v>1</v>
      </c>
      <c r="I23" s="7" t="str">
        <f t="shared" si="0"/>
        <v>Small</v>
      </c>
      <c r="J23" s="6">
        <v>50</v>
      </c>
      <c r="K23" s="6">
        <f t="shared" si="1"/>
        <v>50</v>
      </c>
      <c r="L23" s="6" t="str">
        <f t="shared" si="2"/>
        <v>Low-Ticket</v>
      </c>
      <c r="M23" s="5" t="s">
        <v>426</v>
      </c>
      <c r="N23" s="5" t="s">
        <v>430</v>
      </c>
    </row>
    <row r="24" spans="1:14" x14ac:dyDescent="0.25">
      <c r="A24" t="s">
        <v>34</v>
      </c>
      <c r="B24" s="2">
        <v>45608</v>
      </c>
      <c r="C24" t="s">
        <v>231</v>
      </c>
      <c r="D24" s="14" t="s">
        <v>438</v>
      </c>
      <c r="E24" s="5" t="s">
        <v>397</v>
      </c>
      <c r="F24" t="s">
        <v>446</v>
      </c>
      <c r="G24" s="5" t="s">
        <v>418</v>
      </c>
      <c r="H24" s="7">
        <v>5</v>
      </c>
      <c r="I24" s="7" t="str">
        <f t="shared" si="0"/>
        <v>Small</v>
      </c>
      <c r="J24" s="6">
        <v>80</v>
      </c>
      <c r="K24" s="6">
        <f t="shared" si="1"/>
        <v>400</v>
      </c>
      <c r="L24" s="6" t="str">
        <f t="shared" si="2"/>
        <v>Low-Ticket</v>
      </c>
      <c r="M24" s="5" t="s">
        <v>426</v>
      </c>
      <c r="N24" s="5" t="s">
        <v>428</v>
      </c>
    </row>
    <row r="25" spans="1:14" x14ac:dyDescent="0.25">
      <c r="A25" t="s">
        <v>35</v>
      </c>
      <c r="B25" s="2">
        <v>45473</v>
      </c>
      <c r="C25" t="s">
        <v>232</v>
      </c>
      <c r="D25" s="14" t="s">
        <v>441</v>
      </c>
      <c r="E25" s="5" t="s">
        <v>404</v>
      </c>
      <c r="F25" t="s">
        <v>444</v>
      </c>
      <c r="G25" s="5" t="s">
        <v>418</v>
      </c>
      <c r="H25" s="7">
        <v>5</v>
      </c>
      <c r="I25" s="7" t="str">
        <f t="shared" si="0"/>
        <v>Small</v>
      </c>
      <c r="J25" s="6">
        <v>100</v>
      </c>
      <c r="K25" s="6">
        <f t="shared" si="1"/>
        <v>500</v>
      </c>
      <c r="L25" s="6" t="str">
        <f t="shared" si="2"/>
        <v>Low-Ticket</v>
      </c>
      <c r="M25" s="5" t="s">
        <v>425</v>
      </c>
      <c r="N25" s="5" t="s">
        <v>428</v>
      </c>
    </row>
    <row r="26" spans="1:14" x14ac:dyDescent="0.25">
      <c r="A26" t="s">
        <v>36</v>
      </c>
      <c r="B26" s="2">
        <v>45674</v>
      </c>
      <c r="C26" t="s">
        <v>233</v>
      </c>
      <c r="D26" s="14" t="s">
        <v>437</v>
      </c>
      <c r="E26" s="5" t="s">
        <v>396</v>
      </c>
      <c r="F26" t="s">
        <v>442</v>
      </c>
      <c r="G26" s="5" t="s">
        <v>419</v>
      </c>
      <c r="H26" s="7">
        <v>4</v>
      </c>
      <c r="I26" s="7" t="str">
        <f t="shared" si="0"/>
        <v>Small</v>
      </c>
      <c r="J26" s="6">
        <v>100</v>
      </c>
      <c r="K26" s="6">
        <f t="shared" si="1"/>
        <v>400</v>
      </c>
      <c r="L26" s="6" t="str">
        <f t="shared" si="2"/>
        <v>Low-Ticket</v>
      </c>
      <c r="M26" s="5" t="s">
        <v>424</v>
      </c>
      <c r="N26" s="5" t="s">
        <v>430</v>
      </c>
    </row>
    <row r="27" spans="1:14" x14ac:dyDescent="0.25">
      <c r="A27" t="s">
        <v>23</v>
      </c>
      <c r="B27" s="2">
        <v>45450</v>
      </c>
      <c r="C27" t="s">
        <v>220</v>
      </c>
      <c r="D27" s="14" t="s">
        <v>438</v>
      </c>
      <c r="E27" s="5" t="s">
        <v>403</v>
      </c>
      <c r="F27" t="s">
        <v>445</v>
      </c>
      <c r="G27" s="5" t="s">
        <v>419</v>
      </c>
      <c r="H27" s="7">
        <v>2</v>
      </c>
      <c r="I27" s="7" t="str">
        <f t="shared" si="0"/>
        <v>Small</v>
      </c>
      <c r="J27" s="6">
        <v>50</v>
      </c>
      <c r="K27" s="6">
        <f t="shared" si="1"/>
        <v>100</v>
      </c>
      <c r="L27" s="6" t="str">
        <f t="shared" si="2"/>
        <v>Low-Ticket</v>
      </c>
      <c r="M27" s="5" t="s">
        <v>426</v>
      </c>
      <c r="N27" s="5" t="s">
        <v>428</v>
      </c>
    </row>
    <row r="28" spans="1:14" x14ac:dyDescent="0.25">
      <c r="A28" t="s">
        <v>37</v>
      </c>
      <c r="B28" s="2">
        <v>45748</v>
      </c>
      <c r="C28" t="s">
        <v>234</v>
      </c>
      <c r="D28" s="14" t="s">
        <v>437</v>
      </c>
      <c r="E28" s="5" t="s">
        <v>396</v>
      </c>
      <c r="F28" t="s">
        <v>444</v>
      </c>
      <c r="G28" s="5" t="s">
        <v>418</v>
      </c>
      <c r="H28" s="7">
        <v>4</v>
      </c>
      <c r="I28" s="7" t="str">
        <f t="shared" si="0"/>
        <v>Small</v>
      </c>
      <c r="J28" s="6">
        <v>80</v>
      </c>
      <c r="K28" s="6">
        <f t="shared" si="1"/>
        <v>320</v>
      </c>
      <c r="L28" s="6" t="str">
        <f t="shared" si="2"/>
        <v>Low-Ticket</v>
      </c>
      <c r="M28" s="5" t="s">
        <v>425</v>
      </c>
      <c r="N28" s="5" t="s">
        <v>430</v>
      </c>
    </row>
    <row r="29" spans="1:14" x14ac:dyDescent="0.25">
      <c r="A29" t="s">
        <v>38</v>
      </c>
      <c r="B29" s="2">
        <v>45777</v>
      </c>
      <c r="C29" t="s">
        <v>235</v>
      </c>
      <c r="D29" s="14" t="s">
        <v>438</v>
      </c>
      <c r="E29" s="5" t="s">
        <v>397</v>
      </c>
      <c r="F29" t="s">
        <v>442</v>
      </c>
      <c r="G29" s="5" t="s">
        <v>420</v>
      </c>
      <c r="H29" s="7">
        <v>100</v>
      </c>
      <c r="I29" s="7" t="str">
        <f t="shared" si="0"/>
        <v>Big</v>
      </c>
      <c r="J29" s="6">
        <v>50</v>
      </c>
      <c r="K29" s="6">
        <f t="shared" si="1"/>
        <v>5000</v>
      </c>
      <c r="L29" s="6" t="str">
        <f t="shared" si="2"/>
        <v>High-Ticket</v>
      </c>
      <c r="M29" s="5" t="s">
        <v>424</v>
      </c>
      <c r="N29" s="5" t="s">
        <v>430</v>
      </c>
    </row>
    <row r="30" spans="1:14" x14ac:dyDescent="0.25">
      <c r="A30" t="s">
        <v>39</v>
      </c>
      <c r="B30" s="2">
        <v>45745</v>
      </c>
      <c r="C30" t="s">
        <v>236</v>
      </c>
      <c r="D30" s="14" t="s">
        <v>439</v>
      </c>
      <c r="E30" s="5" t="s">
        <v>399</v>
      </c>
      <c r="F30" t="s">
        <v>445</v>
      </c>
      <c r="G30" s="5" t="s">
        <v>418</v>
      </c>
      <c r="H30" s="7">
        <v>2</v>
      </c>
      <c r="I30" s="7" t="str">
        <f t="shared" si="0"/>
        <v>Small</v>
      </c>
      <c r="J30" s="6">
        <v>80</v>
      </c>
      <c r="K30" s="6">
        <f t="shared" si="1"/>
        <v>160</v>
      </c>
      <c r="L30" s="6" t="str">
        <f t="shared" si="2"/>
        <v>Low-Ticket</v>
      </c>
      <c r="M30" s="5" t="s">
        <v>424</v>
      </c>
      <c r="N30" s="5" t="s">
        <v>429</v>
      </c>
    </row>
    <row r="31" spans="1:14" x14ac:dyDescent="0.25">
      <c r="A31" t="s">
        <v>40</v>
      </c>
      <c r="B31" s="2">
        <v>45787</v>
      </c>
      <c r="C31" t="s">
        <v>237</v>
      </c>
      <c r="D31" s="14" t="s">
        <v>439</v>
      </c>
      <c r="E31" s="5" t="s">
        <v>399</v>
      </c>
      <c r="F31" t="s">
        <v>445</v>
      </c>
      <c r="G31" s="5" t="s">
        <v>416</v>
      </c>
      <c r="H31" s="7">
        <v>5</v>
      </c>
      <c r="I31" s="7" t="str">
        <f t="shared" si="0"/>
        <v>Small</v>
      </c>
      <c r="J31" s="6">
        <v>50</v>
      </c>
      <c r="K31" s="6">
        <f t="shared" si="1"/>
        <v>250</v>
      </c>
      <c r="L31" s="6" t="str">
        <f t="shared" si="2"/>
        <v>Low-Ticket</v>
      </c>
      <c r="M31" s="5" t="s">
        <v>426</v>
      </c>
      <c r="N31" s="5" t="s">
        <v>429</v>
      </c>
    </row>
    <row r="32" spans="1:14" x14ac:dyDescent="0.25">
      <c r="A32" t="s">
        <v>41</v>
      </c>
      <c r="B32" s="2">
        <v>45562</v>
      </c>
      <c r="C32" t="s">
        <v>238</v>
      </c>
      <c r="D32" s="14" t="s">
        <v>441</v>
      </c>
      <c r="E32" s="5" t="s">
        <v>405</v>
      </c>
      <c r="F32" t="s">
        <v>442</v>
      </c>
      <c r="G32" s="5" t="s">
        <v>417</v>
      </c>
      <c r="H32" s="7">
        <v>3</v>
      </c>
      <c r="I32" s="7" t="str">
        <f t="shared" si="0"/>
        <v>Small</v>
      </c>
      <c r="J32" s="6">
        <v>50</v>
      </c>
      <c r="K32" s="6">
        <f t="shared" si="1"/>
        <v>150</v>
      </c>
      <c r="L32" s="6" t="str">
        <f t="shared" si="2"/>
        <v>Low-Ticket</v>
      </c>
      <c r="M32" s="5" t="s">
        <v>424</v>
      </c>
      <c r="N32" s="5" t="s">
        <v>430</v>
      </c>
    </row>
    <row r="33" spans="1:14" x14ac:dyDescent="0.25">
      <c r="A33" t="s">
        <v>42</v>
      </c>
      <c r="B33" s="2">
        <v>45457</v>
      </c>
      <c r="C33" t="s">
        <v>239</v>
      </c>
      <c r="D33" s="14" t="s">
        <v>439</v>
      </c>
      <c r="E33" s="5" t="s">
        <v>399</v>
      </c>
      <c r="F33" t="s">
        <v>446</v>
      </c>
      <c r="G33" s="5" t="s">
        <v>416</v>
      </c>
      <c r="H33" s="7">
        <v>100</v>
      </c>
      <c r="I33" s="7" t="str">
        <f t="shared" si="0"/>
        <v>Big</v>
      </c>
      <c r="J33" s="6">
        <v>100</v>
      </c>
      <c r="K33" s="6">
        <f t="shared" si="1"/>
        <v>10000</v>
      </c>
      <c r="L33" s="6" t="str">
        <f t="shared" si="2"/>
        <v>High-Ticket</v>
      </c>
      <c r="M33" s="5" t="s">
        <v>426</v>
      </c>
      <c r="N33" s="5" t="s">
        <v>430</v>
      </c>
    </row>
    <row r="34" spans="1:14" x14ac:dyDescent="0.25">
      <c r="A34" t="s">
        <v>43</v>
      </c>
      <c r="B34" s="2">
        <v>45537</v>
      </c>
      <c r="C34" t="s">
        <v>240</v>
      </c>
      <c r="D34" s="14" t="s">
        <v>437</v>
      </c>
      <c r="E34" s="5" t="s">
        <v>398</v>
      </c>
      <c r="F34" t="s">
        <v>445</v>
      </c>
      <c r="G34" s="5" t="s">
        <v>419</v>
      </c>
      <c r="H34" s="7">
        <v>1</v>
      </c>
      <c r="I34" s="7" t="str">
        <f t="shared" si="0"/>
        <v>Small</v>
      </c>
      <c r="J34" s="6">
        <v>75.5</v>
      </c>
      <c r="K34" s="6">
        <f t="shared" si="1"/>
        <v>75.5</v>
      </c>
      <c r="L34" s="6" t="str">
        <f t="shared" si="2"/>
        <v>Low-Ticket</v>
      </c>
      <c r="M34" s="5" t="s">
        <v>426</v>
      </c>
      <c r="N34" s="5" t="s">
        <v>428</v>
      </c>
    </row>
    <row r="35" spans="1:14" x14ac:dyDescent="0.25">
      <c r="A35" t="s">
        <v>44</v>
      </c>
      <c r="B35" s="2">
        <v>45690</v>
      </c>
      <c r="C35" t="s">
        <v>241</v>
      </c>
      <c r="D35" s="14" t="s">
        <v>440</v>
      </c>
      <c r="E35" s="5" t="s">
        <v>401</v>
      </c>
      <c r="F35" t="s">
        <v>445</v>
      </c>
      <c r="G35" s="5" t="s">
        <v>419</v>
      </c>
      <c r="H35" s="7">
        <v>3</v>
      </c>
      <c r="I35" s="7" t="str">
        <f t="shared" si="0"/>
        <v>Small</v>
      </c>
      <c r="J35" s="6">
        <v>100</v>
      </c>
      <c r="K35" s="6">
        <f t="shared" si="1"/>
        <v>300</v>
      </c>
      <c r="L35" s="6" t="str">
        <f t="shared" si="2"/>
        <v>Low-Ticket</v>
      </c>
      <c r="M35" s="5" t="s">
        <v>425</v>
      </c>
      <c r="N35" s="5" t="s">
        <v>429</v>
      </c>
    </row>
    <row r="36" spans="1:14" x14ac:dyDescent="0.25">
      <c r="A36" t="s">
        <v>45</v>
      </c>
      <c r="B36" s="2">
        <v>45700</v>
      </c>
      <c r="C36" t="s">
        <v>242</v>
      </c>
      <c r="D36" s="14" t="s">
        <v>441</v>
      </c>
      <c r="E36" s="5" t="s">
        <v>404</v>
      </c>
      <c r="F36" t="s">
        <v>444</v>
      </c>
      <c r="G36" s="5" t="s">
        <v>418</v>
      </c>
      <c r="H36" s="7">
        <v>1</v>
      </c>
      <c r="I36" s="7" t="str">
        <f t="shared" si="0"/>
        <v>Small</v>
      </c>
      <c r="J36" s="6">
        <v>100</v>
      </c>
      <c r="K36" s="6">
        <f t="shared" si="1"/>
        <v>100</v>
      </c>
      <c r="L36" s="6" t="str">
        <f t="shared" si="2"/>
        <v>Low-Ticket</v>
      </c>
      <c r="M36" s="5" t="s">
        <v>425</v>
      </c>
      <c r="N36" s="5" t="s">
        <v>428</v>
      </c>
    </row>
    <row r="37" spans="1:14" x14ac:dyDescent="0.25">
      <c r="A37" t="s">
        <v>46</v>
      </c>
      <c r="B37" s="2">
        <v>45788</v>
      </c>
      <c r="C37" t="s">
        <v>243</v>
      </c>
      <c r="D37" s="14" t="s">
        <v>438</v>
      </c>
      <c r="E37" s="5" t="s">
        <v>407</v>
      </c>
      <c r="F37" t="s">
        <v>446</v>
      </c>
      <c r="G37" s="5" t="s">
        <v>416</v>
      </c>
      <c r="H37" s="7">
        <v>3</v>
      </c>
      <c r="I37" s="7" t="str">
        <f t="shared" si="0"/>
        <v>Small</v>
      </c>
      <c r="J37" s="6">
        <v>75.5</v>
      </c>
      <c r="K37" s="6">
        <f t="shared" si="1"/>
        <v>226.5</v>
      </c>
      <c r="L37" s="6" t="str">
        <f t="shared" si="2"/>
        <v>Low-Ticket</v>
      </c>
      <c r="M37" s="5" t="s">
        <v>425</v>
      </c>
      <c r="N37" s="5" t="s">
        <v>429</v>
      </c>
    </row>
    <row r="38" spans="1:14" x14ac:dyDescent="0.25">
      <c r="A38" t="s">
        <v>47</v>
      </c>
      <c r="B38" s="2">
        <v>45528</v>
      </c>
      <c r="C38" t="s">
        <v>244</v>
      </c>
      <c r="D38" s="14" t="s">
        <v>438</v>
      </c>
      <c r="E38" s="5" t="s">
        <v>407</v>
      </c>
      <c r="F38" t="s">
        <v>443</v>
      </c>
      <c r="G38" s="5" t="s">
        <v>417</v>
      </c>
      <c r="H38" s="7">
        <f>21</f>
        <v>21</v>
      </c>
      <c r="I38" s="7" t="str">
        <f t="shared" si="0"/>
        <v>Normal</v>
      </c>
      <c r="J38" s="6">
        <v>75.5</v>
      </c>
      <c r="K38" s="6">
        <f t="shared" si="1"/>
        <v>1585.5</v>
      </c>
      <c r="L38" s="6" t="str">
        <f t="shared" si="2"/>
        <v>Normal-Ticket</v>
      </c>
      <c r="M38" s="5" t="s">
        <v>425</v>
      </c>
      <c r="N38" s="5" t="s">
        <v>430</v>
      </c>
    </row>
    <row r="39" spans="1:14" x14ac:dyDescent="0.25">
      <c r="A39" t="s">
        <v>48</v>
      </c>
      <c r="B39" s="2">
        <v>45554</v>
      </c>
      <c r="C39" t="s">
        <v>245</v>
      </c>
      <c r="D39" s="14" t="s">
        <v>441</v>
      </c>
      <c r="E39" s="5" t="s">
        <v>404</v>
      </c>
      <c r="F39" t="s">
        <v>446</v>
      </c>
      <c r="G39" s="5" t="s">
        <v>418</v>
      </c>
      <c r="H39" s="7">
        <v>1</v>
      </c>
      <c r="I39" s="7" t="str">
        <f t="shared" si="0"/>
        <v>Small</v>
      </c>
      <c r="J39" s="6">
        <v>75.5</v>
      </c>
      <c r="K39" s="6">
        <f t="shared" si="1"/>
        <v>75.5</v>
      </c>
      <c r="L39" s="6" t="str">
        <f t="shared" si="2"/>
        <v>Low-Ticket</v>
      </c>
      <c r="M39" s="5" t="s">
        <v>424</v>
      </c>
      <c r="N39" s="5" t="s">
        <v>429</v>
      </c>
    </row>
    <row r="40" spans="1:14" x14ac:dyDescent="0.25">
      <c r="A40" t="s">
        <v>49</v>
      </c>
      <c r="B40" s="2">
        <v>45807</v>
      </c>
      <c r="C40" t="s">
        <v>246</v>
      </c>
      <c r="D40" s="14" t="s">
        <v>439</v>
      </c>
      <c r="E40" s="5" t="s">
        <v>408</v>
      </c>
      <c r="F40" t="s">
        <v>446</v>
      </c>
      <c r="G40" s="5" t="s">
        <v>416</v>
      </c>
      <c r="H40" s="7">
        <v>2</v>
      </c>
      <c r="I40" s="7" t="str">
        <f t="shared" si="0"/>
        <v>Small</v>
      </c>
      <c r="J40" s="6">
        <v>100</v>
      </c>
      <c r="K40" s="6">
        <f t="shared" si="1"/>
        <v>200</v>
      </c>
      <c r="L40" s="6" t="str">
        <f t="shared" si="2"/>
        <v>Low-Ticket</v>
      </c>
      <c r="M40" s="5" t="s">
        <v>424</v>
      </c>
      <c r="N40" s="5" t="s">
        <v>429</v>
      </c>
    </row>
    <row r="41" spans="1:14" x14ac:dyDescent="0.25">
      <c r="A41" t="s">
        <v>50</v>
      </c>
      <c r="B41" s="2">
        <v>45803</v>
      </c>
      <c r="C41" t="s">
        <v>247</v>
      </c>
      <c r="D41" s="14" t="s">
        <v>441</v>
      </c>
      <c r="E41" s="5" t="s">
        <v>409</v>
      </c>
      <c r="F41" t="s">
        <v>445</v>
      </c>
      <c r="G41" s="5" t="s">
        <v>416</v>
      </c>
      <c r="H41" s="7">
        <v>2</v>
      </c>
      <c r="I41" s="7" t="str">
        <f t="shared" si="0"/>
        <v>Small</v>
      </c>
      <c r="J41" s="6">
        <v>100</v>
      </c>
      <c r="K41" s="6">
        <f t="shared" si="1"/>
        <v>200</v>
      </c>
      <c r="L41" s="6" t="str">
        <f t="shared" si="2"/>
        <v>Low-Ticket</v>
      </c>
      <c r="M41" s="5" t="s">
        <v>424</v>
      </c>
      <c r="N41" s="5" t="s">
        <v>430</v>
      </c>
    </row>
    <row r="42" spans="1:14" x14ac:dyDescent="0.25">
      <c r="A42" t="s">
        <v>51</v>
      </c>
      <c r="B42" s="2">
        <v>45517</v>
      </c>
      <c r="C42" t="s">
        <v>248</v>
      </c>
      <c r="D42" s="14" t="s">
        <v>438</v>
      </c>
      <c r="E42" s="5" t="s">
        <v>397</v>
      </c>
      <c r="F42" t="s">
        <v>446</v>
      </c>
      <c r="G42" s="5" t="s">
        <v>416</v>
      </c>
      <c r="H42" s="7">
        <v>4</v>
      </c>
      <c r="I42" s="7" t="str">
        <f t="shared" si="0"/>
        <v>Small</v>
      </c>
      <c r="J42" s="6">
        <v>50</v>
      </c>
      <c r="K42" s="6">
        <f t="shared" si="1"/>
        <v>200</v>
      </c>
      <c r="L42" s="6" t="str">
        <f t="shared" si="2"/>
        <v>Low-Ticket</v>
      </c>
      <c r="M42" s="5" t="s">
        <v>424</v>
      </c>
      <c r="N42" s="5" t="s">
        <v>428</v>
      </c>
    </row>
    <row r="43" spans="1:14" x14ac:dyDescent="0.25">
      <c r="A43" t="s">
        <v>52</v>
      </c>
      <c r="B43" s="2">
        <v>45771</v>
      </c>
      <c r="C43" t="s">
        <v>249</v>
      </c>
      <c r="D43" s="14" t="s">
        <v>440</v>
      </c>
      <c r="E43" s="5" t="s">
        <v>402</v>
      </c>
      <c r="F43" t="s">
        <v>445</v>
      </c>
      <c r="G43" s="5" t="s">
        <v>416</v>
      </c>
      <c r="H43" s="7">
        <v>100</v>
      </c>
      <c r="I43" s="7" t="str">
        <f t="shared" si="0"/>
        <v>Big</v>
      </c>
      <c r="J43" s="6">
        <v>75.5</v>
      </c>
      <c r="K43" s="6">
        <f t="shared" si="1"/>
        <v>7550</v>
      </c>
      <c r="L43" s="6" t="str">
        <f t="shared" si="2"/>
        <v>High-Ticket</v>
      </c>
      <c r="M43" s="5" t="s">
        <v>425</v>
      </c>
      <c r="N43" s="5" t="s">
        <v>429</v>
      </c>
    </row>
    <row r="44" spans="1:14" x14ac:dyDescent="0.25">
      <c r="A44" t="s">
        <v>53</v>
      </c>
      <c r="B44" s="2">
        <v>45563</v>
      </c>
      <c r="C44" t="s">
        <v>250</v>
      </c>
      <c r="D44" s="14" t="s">
        <v>441</v>
      </c>
      <c r="E44" s="5" t="s">
        <v>405</v>
      </c>
      <c r="F44" t="s">
        <v>444</v>
      </c>
      <c r="G44" s="5" t="s">
        <v>416</v>
      </c>
      <c r="H44" s="7">
        <v>2</v>
      </c>
      <c r="I44" s="7" t="str">
        <f t="shared" si="0"/>
        <v>Small</v>
      </c>
      <c r="J44" s="6">
        <v>80</v>
      </c>
      <c r="K44" s="6">
        <f t="shared" si="1"/>
        <v>160</v>
      </c>
      <c r="L44" s="6" t="str">
        <f t="shared" si="2"/>
        <v>Low-Ticket</v>
      </c>
      <c r="M44" s="5" t="s">
        <v>424</v>
      </c>
      <c r="N44" s="5" t="s">
        <v>430</v>
      </c>
    </row>
    <row r="45" spans="1:14" x14ac:dyDescent="0.25">
      <c r="A45" t="s">
        <v>54</v>
      </c>
      <c r="B45" s="2">
        <v>45578</v>
      </c>
      <c r="C45" t="s">
        <v>251</v>
      </c>
      <c r="D45" s="14" t="s">
        <v>440</v>
      </c>
      <c r="E45" s="5" t="s">
        <v>401</v>
      </c>
      <c r="F45" t="s">
        <v>446</v>
      </c>
      <c r="G45" s="5" t="s">
        <v>416</v>
      </c>
      <c r="H45" s="7">
        <v>2</v>
      </c>
      <c r="I45" s="7" t="str">
        <f t="shared" si="0"/>
        <v>Small</v>
      </c>
      <c r="J45" s="6">
        <v>80</v>
      </c>
      <c r="K45" s="6">
        <f t="shared" si="1"/>
        <v>160</v>
      </c>
      <c r="L45" s="6" t="str">
        <f t="shared" si="2"/>
        <v>Low-Ticket</v>
      </c>
      <c r="M45" s="5" t="s">
        <v>424</v>
      </c>
      <c r="N45" s="5" t="s">
        <v>429</v>
      </c>
    </row>
    <row r="46" spans="1:14" x14ac:dyDescent="0.25">
      <c r="A46" t="s">
        <v>55</v>
      </c>
      <c r="B46" s="2">
        <v>45667</v>
      </c>
      <c r="C46" t="s">
        <v>252</v>
      </c>
      <c r="D46" s="14" t="s">
        <v>439</v>
      </c>
      <c r="E46" s="5" t="s">
        <v>400</v>
      </c>
      <c r="F46" t="s">
        <v>445</v>
      </c>
      <c r="G46" s="5" t="s">
        <v>419</v>
      </c>
      <c r="H46" s="7">
        <v>5</v>
      </c>
      <c r="I46" s="7" t="str">
        <f t="shared" si="0"/>
        <v>Small</v>
      </c>
      <c r="J46" s="6">
        <v>50</v>
      </c>
      <c r="K46" s="6">
        <f t="shared" si="1"/>
        <v>250</v>
      </c>
      <c r="L46" s="6" t="str">
        <f t="shared" si="2"/>
        <v>Low-Ticket</v>
      </c>
      <c r="M46" s="5" t="s">
        <v>424</v>
      </c>
      <c r="N46" s="5" t="s">
        <v>429</v>
      </c>
    </row>
    <row r="47" spans="1:14" x14ac:dyDescent="0.25">
      <c r="A47" t="s">
        <v>56</v>
      </c>
      <c r="B47" s="2">
        <v>45743</v>
      </c>
      <c r="C47" t="s">
        <v>253</v>
      </c>
      <c r="D47" s="14" t="s">
        <v>437</v>
      </c>
      <c r="E47" s="5" t="s">
        <v>396</v>
      </c>
      <c r="F47" t="s">
        <v>446</v>
      </c>
      <c r="G47" s="5" t="s">
        <v>418</v>
      </c>
      <c r="H47" s="7">
        <v>100</v>
      </c>
      <c r="I47" s="7" t="str">
        <f t="shared" si="0"/>
        <v>Big</v>
      </c>
      <c r="J47" s="6">
        <v>75.5</v>
      </c>
      <c r="K47" s="6">
        <f t="shared" si="1"/>
        <v>7550</v>
      </c>
      <c r="L47" s="6" t="str">
        <f t="shared" si="2"/>
        <v>High-Ticket</v>
      </c>
      <c r="M47" s="5" t="s">
        <v>425</v>
      </c>
      <c r="N47" s="5" t="s">
        <v>429</v>
      </c>
    </row>
    <row r="48" spans="1:14" x14ac:dyDescent="0.25">
      <c r="A48" t="s">
        <v>57</v>
      </c>
      <c r="B48" s="2">
        <v>45794</v>
      </c>
      <c r="C48" t="s">
        <v>254</v>
      </c>
      <c r="D48" s="14" t="s">
        <v>439</v>
      </c>
      <c r="E48" s="5" t="s">
        <v>408</v>
      </c>
      <c r="F48" t="s">
        <v>442</v>
      </c>
      <c r="G48" s="5" t="s">
        <v>416</v>
      </c>
      <c r="H48" s="7">
        <v>4</v>
      </c>
      <c r="I48" s="7" t="str">
        <f t="shared" si="0"/>
        <v>Small</v>
      </c>
      <c r="J48" s="6">
        <v>100</v>
      </c>
      <c r="K48" s="6">
        <f t="shared" si="1"/>
        <v>400</v>
      </c>
      <c r="L48" s="6" t="str">
        <f t="shared" si="2"/>
        <v>Low-Ticket</v>
      </c>
      <c r="M48" s="5" t="s">
        <v>424</v>
      </c>
      <c r="N48" s="5" t="s">
        <v>429</v>
      </c>
    </row>
    <row r="49" spans="1:14" x14ac:dyDescent="0.25">
      <c r="A49" t="s">
        <v>58</v>
      </c>
      <c r="B49" s="2">
        <v>45779</v>
      </c>
      <c r="C49" t="s">
        <v>255</v>
      </c>
      <c r="D49" s="14" t="s">
        <v>441</v>
      </c>
      <c r="E49" s="5" t="s">
        <v>410</v>
      </c>
      <c r="F49" t="s">
        <v>442</v>
      </c>
      <c r="G49" s="5" t="s">
        <v>417</v>
      </c>
      <c r="H49" s="7">
        <v>3</v>
      </c>
      <c r="I49" s="7" t="str">
        <f t="shared" si="0"/>
        <v>Small</v>
      </c>
      <c r="J49" s="6">
        <v>80</v>
      </c>
      <c r="K49" s="6">
        <f t="shared" si="1"/>
        <v>240</v>
      </c>
      <c r="L49" s="6" t="str">
        <f t="shared" si="2"/>
        <v>Low-Ticket</v>
      </c>
      <c r="M49" s="5" t="s">
        <v>424</v>
      </c>
      <c r="N49" s="5" t="s">
        <v>428</v>
      </c>
    </row>
    <row r="50" spans="1:14" x14ac:dyDescent="0.25">
      <c r="A50" t="s">
        <v>59</v>
      </c>
      <c r="B50" s="2">
        <v>45696</v>
      </c>
      <c r="C50" t="s">
        <v>256</v>
      </c>
      <c r="D50" s="14" t="s">
        <v>438</v>
      </c>
      <c r="E50" s="5" t="s">
        <v>397</v>
      </c>
      <c r="F50" t="s">
        <v>443</v>
      </c>
      <c r="G50" s="5" t="s">
        <v>417</v>
      </c>
      <c r="H50" s="7">
        <v>4</v>
      </c>
      <c r="I50" s="7" t="str">
        <f t="shared" si="0"/>
        <v>Small</v>
      </c>
      <c r="J50" s="6">
        <v>100</v>
      </c>
      <c r="K50" s="6">
        <f t="shared" si="1"/>
        <v>400</v>
      </c>
      <c r="L50" s="6" t="str">
        <f t="shared" si="2"/>
        <v>Low-Ticket</v>
      </c>
      <c r="M50" s="5" t="s">
        <v>424</v>
      </c>
      <c r="N50" s="5" t="s">
        <v>428</v>
      </c>
    </row>
    <row r="51" spans="1:14" x14ac:dyDescent="0.25">
      <c r="A51" t="s">
        <v>60</v>
      </c>
      <c r="B51" s="2">
        <v>45454</v>
      </c>
      <c r="C51" t="s">
        <v>257</v>
      </c>
      <c r="D51" s="14" t="s">
        <v>441</v>
      </c>
      <c r="E51" s="5" t="s">
        <v>409</v>
      </c>
      <c r="F51" t="s">
        <v>446</v>
      </c>
      <c r="G51" s="5" t="s">
        <v>420</v>
      </c>
      <c r="H51" s="7">
        <v>5</v>
      </c>
      <c r="I51" s="7" t="str">
        <f t="shared" si="0"/>
        <v>Small</v>
      </c>
      <c r="J51" s="6">
        <v>50</v>
      </c>
      <c r="K51" s="6">
        <f t="shared" si="1"/>
        <v>250</v>
      </c>
      <c r="L51" s="6" t="str">
        <f t="shared" si="2"/>
        <v>Low-Ticket</v>
      </c>
      <c r="M51" s="5" t="s">
        <v>425</v>
      </c>
      <c r="N51" s="5" t="s">
        <v>429</v>
      </c>
    </row>
    <row r="52" spans="1:14" x14ac:dyDescent="0.25">
      <c r="A52" t="s">
        <v>61</v>
      </c>
      <c r="B52" s="2">
        <v>45694</v>
      </c>
      <c r="C52" t="s">
        <v>258</v>
      </c>
      <c r="D52" s="14" t="s">
        <v>437</v>
      </c>
      <c r="E52" s="5" t="s">
        <v>398</v>
      </c>
      <c r="F52" t="s">
        <v>446</v>
      </c>
      <c r="G52" s="5" t="s">
        <v>416</v>
      </c>
      <c r="H52" s="7">
        <v>100</v>
      </c>
      <c r="I52" s="7" t="str">
        <f t="shared" si="0"/>
        <v>Big</v>
      </c>
      <c r="J52" s="6">
        <v>100</v>
      </c>
      <c r="K52" s="6">
        <f t="shared" si="1"/>
        <v>10000</v>
      </c>
      <c r="L52" s="6" t="str">
        <f t="shared" si="2"/>
        <v>High-Ticket</v>
      </c>
      <c r="M52" s="5" t="s">
        <v>424</v>
      </c>
      <c r="N52" s="5" t="s">
        <v>429</v>
      </c>
    </row>
    <row r="53" spans="1:14" x14ac:dyDescent="0.25">
      <c r="A53" t="s">
        <v>62</v>
      </c>
      <c r="B53" s="2">
        <v>45674</v>
      </c>
      <c r="C53" t="s">
        <v>259</v>
      </c>
      <c r="D53" s="14" t="s">
        <v>437</v>
      </c>
      <c r="E53" s="5" t="s">
        <v>396</v>
      </c>
      <c r="F53" t="s">
        <v>442</v>
      </c>
      <c r="G53" s="5" t="s">
        <v>417</v>
      </c>
      <c r="H53" s="7">
        <v>100</v>
      </c>
      <c r="I53" s="7" t="str">
        <f t="shared" si="0"/>
        <v>Big</v>
      </c>
      <c r="J53" s="6">
        <v>100</v>
      </c>
      <c r="K53" s="6">
        <f t="shared" si="1"/>
        <v>10000</v>
      </c>
      <c r="L53" s="6" t="str">
        <f t="shared" si="2"/>
        <v>High-Ticket</v>
      </c>
      <c r="M53" s="5" t="s">
        <v>424</v>
      </c>
      <c r="N53" s="5" t="s">
        <v>429</v>
      </c>
    </row>
    <row r="54" spans="1:14" x14ac:dyDescent="0.25">
      <c r="A54" t="s">
        <v>63</v>
      </c>
      <c r="B54" s="2">
        <v>45763</v>
      </c>
      <c r="C54" t="s">
        <v>260</v>
      </c>
      <c r="D54" s="14" t="s">
        <v>437</v>
      </c>
      <c r="E54" s="5" t="s">
        <v>396</v>
      </c>
      <c r="F54" t="s">
        <v>443</v>
      </c>
      <c r="G54" s="5" t="s">
        <v>420</v>
      </c>
      <c r="H54" s="7">
        <v>3</v>
      </c>
      <c r="I54" s="7" t="str">
        <f t="shared" si="0"/>
        <v>Small</v>
      </c>
      <c r="J54" s="6">
        <v>80</v>
      </c>
      <c r="K54" s="6">
        <f t="shared" si="1"/>
        <v>240</v>
      </c>
      <c r="L54" s="6" t="str">
        <f t="shared" si="2"/>
        <v>Low-Ticket</v>
      </c>
      <c r="M54" s="5" t="s">
        <v>424</v>
      </c>
      <c r="N54" s="5" t="s">
        <v>428</v>
      </c>
    </row>
    <row r="55" spans="1:14" x14ac:dyDescent="0.25">
      <c r="A55" t="s">
        <v>64</v>
      </c>
      <c r="B55" s="2">
        <v>45754</v>
      </c>
      <c r="C55" t="s">
        <v>261</v>
      </c>
      <c r="D55" s="14" t="s">
        <v>437</v>
      </c>
      <c r="E55" s="5" t="s">
        <v>395</v>
      </c>
      <c r="F55" t="s">
        <v>444</v>
      </c>
      <c r="G55" s="5" t="s">
        <v>417</v>
      </c>
      <c r="H55" s="7">
        <v>5</v>
      </c>
      <c r="I55" s="7" t="str">
        <f t="shared" si="0"/>
        <v>Small</v>
      </c>
      <c r="J55" s="6">
        <v>50</v>
      </c>
      <c r="K55" s="6">
        <f t="shared" si="1"/>
        <v>250</v>
      </c>
      <c r="L55" s="6" t="str">
        <f t="shared" si="2"/>
        <v>Low-Ticket</v>
      </c>
      <c r="M55" s="5" t="s">
        <v>426</v>
      </c>
      <c r="N55" s="5" t="s">
        <v>430</v>
      </c>
    </row>
    <row r="56" spans="1:14" x14ac:dyDescent="0.25">
      <c r="A56" t="s">
        <v>29</v>
      </c>
      <c r="B56" s="2">
        <v>45772</v>
      </c>
      <c r="C56" t="s">
        <v>226</v>
      </c>
      <c r="D56" s="14" t="s">
        <v>440</v>
      </c>
      <c r="E56" s="5" t="s">
        <v>406</v>
      </c>
      <c r="F56" t="s">
        <v>446</v>
      </c>
      <c r="G56" s="5" t="s">
        <v>419</v>
      </c>
      <c r="H56" s="7">
        <v>3</v>
      </c>
      <c r="I56" s="7" t="str">
        <f t="shared" si="0"/>
        <v>Small</v>
      </c>
      <c r="J56" s="6">
        <v>50</v>
      </c>
      <c r="K56" s="6">
        <f t="shared" si="1"/>
        <v>150</v>
      </c>
      <c r="L56" s="6" t="str">
        <f t="shared" si="2"/>
        <v>Low-Ticket</v>
      </c>
      <c r="M56" s="5" t="s">
        <v>424</v>
      </c>
      <c r="N56" s="5" t="s">
        <v>429</v>
      </c>
    </row>
    <row r="57" spans="1:14" x14ac:dyDescent="0.25">
      <c r="A57" t="s">
        <v>65</v>
      </c>
      <c r="B57" s="2">
        <v>45514</v>
      </c>
      <c r="C57" t="s">
        <v>262</v>
      </c>
      <c r="D57" s="14" t="s">
        <v>437</v>
      </c>
      <c r="E57" s="5" t="s">
        <v>398</v>
      </c>
      <c r="F57" t="s">
        <v>443</v>
      </c>
      <c r="G57" s="5" t="s">
        <v>417</v>
      </c>
      <c r="H57" s="7">
        <v>100</v>
      </c>
      <c r="I57" s="7" t="str">
        <f t="shared" si="0"/>
        <v>Big</v>
      </c>
      <c r="J57" s="6">
        <v>75.5</v>
      </c>
      <c r="K57" s="6">
        <f t="shared" si="1"/>
        <v>7550</v>
      </c>
      <c r="L57" s="6" t="str">
        <f t="shared" si="2"/>
        <v>High-Ticket</v>
      </c>
      <c r="M57" s="5" t="s">
        <v>426</v>
      </c>
      <c r="N57" s="5" t="s">
        <v>429</v>
      </c>
    </row>
    <row r="58" spans="1:14" x14ac:dyDescent="0.25">
      <c r="A58" t="s">
        <v>66</v>
      </c>
      <c r="B58" s="2">
        <v>45761</v>
      </c>
      <c r="C58" t="s">
        <v>263</v>
      </c>
      <c r="D58" s="14" t="s">
        <v>440</v>
      </c>
      <c r="E58" s="5" t="s">
        <v>406</v>
      </c>
      <c r="F58" t="s">
        <v>444</v>
      </c>
      <c r="G58" s="5" t="s">
        <v>416</v>
      </c>
      <c r="H58" s="7">
        <v>4</v>
      </c>
      <c r="I58" s="7" t="str">
        <f t="shared" si="0"/>
        <v>Small</v>
      </c>
      <c r="J58" s="6">
        <v>50</v>
      </c>
      <c r="K58" s="6">
        <f t="shared" si="1"/>
        <v>200</v>
      </c>
      <c r="L58" s="6" t="str">
        <f t="shared" si="2"/>
        <v>Low-Ticket</v>
      </c>
      <c r="M58" s="5" t="s">
        <v>424</v>
      </c>
      <c r="N58" s="5" t="s">
        <v>428</v>
      </c>
    </row>
    <row r="59" spans="1:14" x14ac:dyDescent="0.25">
      <c r="A59" t="s">
        <v>67</v>
      </c>
      <c r="B59" s="2">
        <v>45474</v>
      </c>
      <c r="C59" t="s">
        <v>264</v>
      </c>
      <c r="D59" s="14" t="s">
        <v>439</v>
      </c>
      <c r="E59" s="5" t="s">
        <v>400</v>
      </c>
      <c r="F59" t="s">
        <v>444</v>
      </c>
      <c r="G59" s="5" t="s">
        <v>418</v>
      </c>
      <c r="H59" s="7">
        <v>100</v>
      </c>
      <c r="I59" s="7" t="str">
        <f t="shared" si="0"/>
        <v>Big</v>
      </c>
      <c r="J59" s="6">
        <v>50</v>
      </c>
      <c r="K59" s="6">
        <f t="shared" si="1"/>
        <v>5000</v>
      </c>
      <c r="L59" s="6" t="str">
        <f t="shared" si="2"/>
        <v>High-Ticket</v>
      </c>
      <c r="M59" s="5" t="s">
        <v>424</v>
      </c>
      <c r="N59" s="5" t="s">
        <v>428</v>
      </c>
    </row>
    <row r="60" spans="1:14" x14ac:dyDescent="0.25">
      <c r="A60" t="s">
        <v>68</v>
      </c>
      <c r="B60" s="2">
        <v>45745</v>
      </c>
      <c r="C60" t="s">
        <v>265</v>
      </c>
      <c r="D60" s="14" t="s">
        <v>438</v>
      </c>
      <c r="E60" s="5" t="s">
        <v>407</v>
      </c>
      <c r="F60" t="s">
        <v>444</v>
      </c>
      <c r="G60" s="5" t="s">
        <v>419</v>
      </c>
      <c r="H60" s="7">
        <v>5</v>
      </c>
      <c r="I60" s="7" t="str">
        <f t="shared" si="0"/>
        <v>Small</v>
      </c>
      <c r="J60" s="6">
        <v>50</v>
      </c>
      <c r="K60" s="6">
        <f t="shared" si="1"/>
        <v>250</v>
      </c>
      <c r="L60" s="6" t="str">
        <f t="shared" si="2"/>
        <v>Low-Ticket</v>
      </c>
      <c r="M60" s="5" t="s">
        <v>425</v>
      </c>
      <c r="N60" s="5" t="s">
        <v>430</v>
      </c>
    </row>
    <row r="61" spans="1:14" x14ac:dyDescent="0.25">
      <c r="A61" t="s">
        <v>69</v>
      </c>
      <c r="B61" s="2">
        <v>45656</v>
      </c>
      <c r="C61" t="s">
        <v>266</v>
      </c>
      <c r="D61" s="14" t="s">
        <v>438</v>
      </c>
      <c r="E61" s="5" t="s">
        <v>407</v>
      </c>
      <c r="F61" t="s">
        <v>444</v>
      </c>
      <c r="G61" s="5" t="s">
        <v>419</v>
      </c>
      <c r="H61" s="7">
        <v>1</v>
      </c>
      <c r="I61" s="7" t="str">
        <f t="shared" si="0"/>
        <v>Small</v>
      </c>
      <c r="J61" s="6">
        <v>50</v>
      </c>
      <c r="K61" s="6">
        <f t="shared" si="1"/>
        <v>50</v>
      </c>
      <c r="L61" s="6" t="str">
        <f t="shared" si="2"/>
        <v>Low-Ticket</v>
      </c>
      <c r="M61" s="5" t="s">
        <v>424</v>
      </c>
      <c r="N61" s="5" t="s">
        <v>429</v>
      </c>
    </row>
    <row r="62" spans="1:14" x14ac:dyDescent="0.25">
      <c r="A62" t="s">
        <v>70</v>
      </c>
      <c r="B62" s="2">
        <v>45548</v>
      </c>
      <c r="C62" t="s">
        <v>267</v>
      </c>
      <c r="D62" s="14" t="s">
        <v>439</v>
      </c>
      <c r="E62" s="5" t="s">
        <v>399</v>
      </c>
      <c r="F62" t="s">
        <v>444</v>
      </c>
      <c r="G62" s="5" t="s">
        <v>417</v>
      </c>
      <c r="H62" s="7">
        <v>4</v>
      </c>
      <c r="I62" s="7" t="str">
        <f t="shared" si="0"/>
        <v>Small</v>
      </c>
      <c r="J62" s="6">
        <v>80</v>
      </c>
      <c r="K62" s="6">
        <f t="shared" si="1"/>
        <v>320</v>
      </c>
      <c r="L62" s="6" t="str">
        <f t="shared" si="2"/>
        <v>Low-Ticket</v>
      </c>
      <c r="M62" s="5" t="s">
        <v>424</v>
      </c>
      <c r="N62" s="5" t="s">
        <v>430</v>
      </c>
    </row>
    <row r="63" spans="1:14" x14ac:dyDescent="0.25">
      <c r="A63" t="s">
        <v>71</v>
      </c>
      <c r="B63" s="2">
        <v>45766</v>
      </c>
      <c r="C63" t="s">
        <v>268</v>
      </c>
      <c r="D63" s="14" t="s">
        <v>437</v>
      </c>
      <c r="E63" s="5" t="s">
        <v>395</v>
      </c>
      <c r="F63" t="s">
        <v>445</v>
      </c>
      <c r="G63" s="5" t="s">
        <v>420</v>
      </c>
      <c r="H63" s="7">
        <v>4</v>
      </c>
      <c r="I63" s="7" t="str">
        <f t="shared" si="0"/>
        <v>Small</v>
      </c>
      <c r="J63" s="6">
        <v>100</v>
      </c>
      <c r="K63" s="6">
        <f t="shared" si="1"/>
        <v>400</v>
      </c>
      <c r="L63" s="6" t="str">
        <f t="shared" si="2"/>
        <v>Low-Ticket</v>
      </c>
      <c r="M63" s="5" t="s">
        <v>424</v>
      </c>
      <c r="N63" s="5" t="s">
        <v>428</v>
      </c>
    </row>
    <row r="64" spans="1:14" x14ac:dyDescent="0.25">
      <c r="A64" t="s">
        <v>72</v>
      </c>
      <c r="B64" s="2">
        <v>45741</v>
      </c>
      <c r="C64" t="s">
        <v>269</v>
      </c>
      <c r="D64" s="14" t="s">
        <v>437</v>
      </c>
      <c r="E64" s="5" t="s">
        <v>398</v>
      </c>
      <c r="F64" t="s">
        <v>443</v>
      </c>
      <c r="G64" s="5" t="s">
        <v>420</v>
      </c>
      <c r="H64" s="7">
        <v>4</v>
      </c>
      <c r="I64" s="7" t="str">
        <f t="shared" si="0"/>
        <v>Small</v>
      </c>
      <c r="J64" s="6">
        <v>100</v>
      </c>
      <c r="K64" s="6">
        <f t="shared" si="1"/>
        <v>400</v>
      </c>
      <c r="L64" s="6" t="str">
        <f t="shared" si="2"/>
        <v>Low-Ticket</v>
      </c>
      <c r="M64" s="5" t="s">
        <v>424</v>
      </c>
      <c r="N64" s="5" t="s">
        <v>428</v>
      </c>
    </row>
    <row r="65" spans="1:14" x14ac:dyDescent="0.25">
      <c r="A65" t="s">
        <v>73</v>
      </c>
      <c r="B65" s="2">
        <v>45643</v>
      </c>
      <c r="C65" t="s">
        <v>270</v>
      </c>
      <c r="D65" s="14" t="s">
        <v>439</v>
      </c>
      <c r="E65" s="5" t="s">
        <v>408</v>
      </c>
      <c r="F65" t="s">
        <v>442</v>
      </c>
      <c r="G65" s="5" t="s">
        <v>416</v>
      </c>
      <c r="H65" s="7">
        <v>1</v>
      </c>
      <c r="I65" s="7" t="str">
        <f t="shared" si="0"/>
        <v>Small</v>
      </c>
      <c r="J65" s="6">
        <v>100</v>
      </c>
      <c r="K65" s="6">
        <f t="shared" si="1"/>
        <v>100</v>
      </c>
      <c r="L65" s="6" t="str">
        <f t="shared" si="2"/>
        <v>Low-Ticket</v>
      </c>
      <c r="M65" s="5" t="s">
        <v>424</v>
      </c>
      <c r="N65" s="5" t="s">
        <v>428</v>
      </c>
    </row>
    <row r="66" spans="1:14" x14ac:dyDescent="0.25">
      <c r="A66" t="s">
        <v>74</v>
      </c>
      <c r="B66" s="2">
        <v>45449</v>
      </c>
      <c r="C66" t="s">
        <v>271</v>
      </c>
      <c r="D66" s="14" t="s">
        <v>438</v>
      </c>
      <c r="E66" s="5" t="s">
        <v>407</v>
      </c>
      <c r="F66" t="s">
        <v>442</v>
      </c>
      <c r="G66" s="5" t="s">
        <v>418</v>
      </c>
      <c r="H66" s="7">
        <v>2</v>
      </c>
      <c r="I66" s="7" t="str">
        <f t="shared" si="0"/>
        <v>Small</v>
      </c>
      <c r="J66" s="6">
        <v>50</v>
      </c>
      <c r="K66" s="6">
        <f t="shared" si="1"/>
        <v>100</v>
      </c>
      <c r="L66" s="6" t="str">
        <f t="shared" si="2"/>
        <v>Low-Ticket</v>
      </c>
      <c r="M66" s="5" t="s">
        <v>426</v>
      </c>
      <c r="N66" s="5" t="s">
        <v>429</v>
      </c>
    </row>
    <row r="67" spans="1:14" x14ac:dyDescent="0.25">
      <c r="A67" t="s">
        <v>75</v>
      </c>
      <c r="B67" s="2">
        <v>45666</v>
      </c>
      <c r="C67" t="s">
        <v>272</v>
      </c>
      <c r="D67" s="14" t="s">
        <v>438</v>
      </c>
      <c r="E67" s="5" t="s">
        <v>403</v>
      </c>
      <c r="F67" t="s">
        <v>444</v>
      </c>
      <c r="G67" s="5" t="s">
        <v>416</v>
      </c>
      <c r="H67" s="7">
        <v>4</v>
      </c>
      <c r="I67" s="7" t="str">
        <f t="shared" ref="I67:I130" si="3">IF(H67&lt;=5,"Small",IF(H67&lt;=50,"Normal","Big"))</f>
        <v>Small</v>
      </c>
      <c r="J67" s="6">
        <v>50</v>
      </c>
      <c r="K67" s="6">
        <f t="shared" ref="K67:K130" si="4">(H67*J67)</f>
        <v>200</v>
      </c>
      <c r="L67" s="6" t="str">
        <f t="shared" ref="L67:L130" si="5">IF(K67&lt;=500,"Low-Ticket",IF(K67&lt;=2500,"Normal-Ticket","High-Ticket"))</f>
        <v>Low-Ticket</v>
      </c>
      <c r="M67" s="5" t="s">
        <v>424</v>
      </c>
      <c r="N67" s="5" t="s">
        <v>428</v>
      </c>
    </row>
    <row r="68" spans="1:14" x14ac:dyDescent="0.25">
      <c r="A68" t="s">
        <v>76</v>
      </c>
      <c r="B68" s="2">
        <v>45675</v>
      </c>
      <c r="C68" t="s">
        <v>273</v>
      </c>
      <c r="D68" s="14" t="s">
        <v>439</v>
      </c>
      <c r="E68" s="5" t="s">
        <v>400</v>
      </c>
      <c r="F68" t="s">
        <v>446</v>
      </c>
      <c r="G68" s="5" t="s">
        <v>419</v>
      </c>
      <c r="H68" s="7">
        <f>21</f>
        <v>21</v>
      </c>
      <c r="I68" s="7" t="str">
        <f t="shared" si="3"/>
        <v>Normal</v>
      </c>
      <c r="J68" s="6">
        <v>50</v>
      </c>
      <c r="K68" s="6">
        <f t="shared" si="4"/>
        <v>1050</v>
      </c>
      <c r="L68" s="6" t="str">
        <f t="shared" si="5"/>
        <v>Normal-Ticket</v>
      </c>
      <c r="M68" s="5" t="s">
        <v>424</v>
      </c>
      <c r="N68" s="5" t="s">
        <v>428</v>
      </c>
    </row>
    <row r="69" spans="1:14" x14ac:dyDescent="0.25">
      <c r="A69" t="s">
        <v>77</v>
      </c>
      <c r="B69" s="2">
        <v>45786</v>
      </c>
      <c r="C69" t="s">
        <v>274</v>
      </c>
      <c r="D69" s="14" t="s">
        <v>438</v>
      </c>
      <c r="E69" s="5" t="s">
        <v>403</v>
      </c>
      <c r="F69" t="s">
        <v>442</v>
      </c>
      <c r="G69" s="5" t="s">
        <v>420</v>
      </c>
      <c r="H69" s="7">
        <v>4</v>
      </c>
      <c r="I69" s="7" t="str">
        <f t="shared" si="3"/>
        <v>Small</v>
      </c>
      <c r="J69" s="6">
        <v>100</v>
      </c>
      <c r="K69" s="6">
        <f t="shared" si="4"/>
        <v>400</v>
      </c>
      <c r="L69" s="6" t="str">
        <f t="shared" si="5"/>
        <v>Low-Ticket</v>
      </c>
      <c r="M69" s="5" t="s">
        <v>424</v>
      </c>
      <c r="N69" s="5" t="s">
        <v>429</v>
      </c>
    </row>
    <row r="70" spans="1:14" x14ac:dyDescent="0.25">
      <c r="A70" t="s">
        <v>78</v>
      </c>
      <c r="B70" s="2">
        <v>45742</v>
      </c>
      <c r="C70" t="s">
        <v>275</v>
      </c>
      <c r="D70" s="14" t="s">
        <v>439</v>
      </c>
      <c r="E70" s="5" t="s">
        <v>400</v>
      </c>
      <c r="F70" t="s">
        <v>442</v>
      </c>
      <c r="G70" s="5" t="s">
        <v>420</v>
      </c>
      <c r="H70" s="7">
        <v>2</v>
      </c>
      <c r="I70" s="7" t="str">
        <f t="shared" si="3"/>
        <v>Small</v>
      </c>
      <c r="J70" s="6">
        <v>50</v>
      </c>
      <c r="K70" s="6">
        <f t="shared" si="4"/>
        <v>100</v>
      </c>
      <c r="L70" s="6" t="str">
        <f t="shared" si="5"/>
        <v>Low-Ticket</v>
      </c>
      <c r="M70" s="5" t="s">
        <v>424</v>
      </c>
      <c r="N70" s="5" t="s">
        <v>430</v>
      </c>
    </row>
    <row r="71" spans="1:14" x14ac:dyDescent="0.25">
      <c r="A71" t="s">
        <v>79</v>
      </c>
      <c r="B71" s="2">
        <v>45642</v>
      </c>
      <c r="C71" t="s">
        <v>276</v>
      </c>
      <c r="D71" s="14" t="s">
        <v>439</v>
      </c>
      <c r="E71" s="5" t="s">
        <v>399</v>
      </c>
      <c r="F71" t="s">
        <v>445</v>
      </c>
      <c r="G71" s="5" t="s">
        <v>416</v>
      </c>
      <c r="H71" s="7">
        <v>4</v>
      </c>
      <c r="I71" s="7" t="str">
        <f t="shared" si="3"/>
        <v>Small</v>
      </c>
      <c r="J71" s="6">
        <v>100</v>
      </c>
      <c r="K71" s="6">
        <f t="shared" si="4"/>
        <v>400</v>
      </c>
      <c r="L71" s="6" t="str">
        <f t="shared" si="5"/>
        <v>Low-Ticket</v>
      </c>
      <c r="M71" s="5" t="s">
        <v>424</v>
      </c>
      <c r="N71" s="5" t="s">
        <v>428</v>
      </c>
    </row>
    <row r="72" spans="1:14" x14ac:dyDescent="0.25">
      <c r="A72" t="s">
        <v>80</v>
      </c>
      <c r="B72" s="2">
        <v>45552</v>
      </c>
      <c r="C72" t="s">
        <v>277</v>
      </c>
      <c r="D72" s="14" t="s">
        <v>439</v>
      </c>
      <c r="E72" s="5" t="s">
        <v>399</v>
      </c>
      <c r="F72" t="s">
        <v>445</v>
      </c>
      <c r="G72" s="5" t="s">
        <v>420</v>
      </c>
      <c r="H72" s="7">
        <v>2</v>
      </c>
      <c r="I72" s="7" t="str">
        <f t="shared" si="3"/>
        <v>Small</v>
      </c>
      <c r="J72" s="6">
        <v>100</v>
      </c>
      <c r="K72" s="6">
        <f t="shared" si="4"/>
        <v>200</v>
      </c>
      <c r="L72" s="6" t="str">
        <f t="shared" si="5"/>
        <v>Low-Ticket</v>
      </c>
      <c r="M72" s="5" t="s">
        <v>425</v>
      </c>
      <c r="N72" s="5" t="s">
        <v>429</v>
      </c>
    </row>
    <row r="73" spans="1:14" x14ac:dyDescent="0.25">
      <c r="A73" t="s">
        <v>81</v>
      </c>
      <c r="B73" s="2">
        <v>45496</v>
      </c>
      <c r="C73" t="s">
        <v>278</v>
      </c>
      <c r="D73" s="14" t="s">
        <v>439</v>
      </c>
      <c r="E73" s="5" t="s">
        <v>400</v>
      </c>
      <c r="F73" t="s">
        <v>445</v>
      </c>
      <c r="G73" s="5" t="s">
        <v>419</v>
      </c>
      <c r="H73" s="7">
        <v>5</v>
      </c>
      <c r="I73" s="7" t="str">
        <f t="shared" si="3"/>
        <v>Small</v>
      </c>
      <c r="J73" s="6">
        <v>100</v>
      </c>
      <c r="K73" s="6">
        <f t="shared" si="4"/>
        <v>500</v>
      </c>
      <c r="L73" s="6" t="str">
        <f t="shared" si="5"/>
        <v>Low-Ticket</v>
      </c>
      <c r="M73" s="5" t="s">
        <v>426</v>
      </c>
      <c r="N73" s="5" t="s">
        <v>429</v>
      </c>
    </row>
    <row r="74" spans="1:14" x14ac:dyDescent="0.25">
      <c r="A74" t="s">
        <v>82</v>
      </c>
      <c r="B74" s="2">
        <v>45802</v>
      </c>
      <c r="C74" t="s">
        <v>279</v>
      </c>
      <c r="D74" s="14" t="s">
        <v>441</v>
      </c>
      <c r="E74" s="5" t="s">
        <v>409</v>
      </c>
      <c r="F74" t="s">
        <v>445</v>
      </c>
      <c r="G74" s="5" t="s">
        <v>416</v>
      </c>
      <c r="H74" s="7">
        <v>3</v>
      </c>
      <c r="I74" s="7" t="str">
        <f t="shared" si="3"/>
        <v>Small</v>
      </c>
      <c r="J74" s="6">
        <v>50</v>
      </c>
      <c r="K74" s="6">
        <f t="shared" si="4"/>
        <v>150</v>
      </c>
      <c r="L74" s="6" t="str">
        <f t="shared" si="5"/>
        <v>Low-Ticket</v>
      </c>
      <c r="M74" s="5" t="s">
        <v>424</v>
      </c>
      <c r="N74" s="5" t="s">
        <v>430</v>
      </c>
    </row>
    <row r="75" spans="1:14" x14ac:dyDescent="0.25">
      <c r="A75" t="s">
        <v>83</v>
      </c>
      <c r="B75" s="2">
        <v>45457</v>
      </c>
      <c r="C75" t="s">
        <v>280</v>
      </c>
      <c r="D75" s="14" t="s">
        <v>438</v>
      </c>
      <c r="E75" s="5" t="s">
        <v>407</v>
      </c>
      <c r="F75" t="s">
        <v>444</v>
      </c>
      <c r="G75" s="5" t="s">
        <v>416</v>
      </c>
      <c r="H75" s="7">
        <v>100</v>
      </c>
      <c r="I75" s="7" t="str">
        <f t="shared" si="3"/>
        <v>Big</v>
      </c>
      <c r="J75" s="6">
        <v>80</v>
      </c>
      <c r="K75" s="6">
        <f t="shared" si="4"/>
        <v>8000</v>
      </c>
      <c r="L75" s="6" t="str">
        <f t="shared" si="5"/>
        <v>High-Ticket</v>
      </c>
      <c r="M75" s="5" t="s">
        <v>424</v>
      </c>
      <c r="N75" s="5" t="s">
        <v>428</v>
      </c>
    </row>
    <row r="76" spans="1:14" x14ac:dyDescent="0.25">
      <c r="A76" t="s">
        <v>84</v>
      </c>
      <c r="B76" s="2">
        <v>45644</v>
      </c>
      <c r="C76" t="s">
        <v>281</v>
      </c>
      <c r="D76" s="14" t="s">
        <v>437</v>
      </c>
      <c r="E76" s="5" t="s">
        <v>395</v>
      </c>
      <c r="F76" t="s">
        <v>444</v>
      </c>
      <c r="G76" s="5" t="s">
        <v>417</v>
      </c>
      <c r="H76" s="7">
        <v>1</v>
      </c>
      <c r="I76" s="7" t="str">
        <f t="shared" si="3"/>
        <v>Small</v>
      </c>
      <c r="J76" s="6">
        <v>75.5</v>
      </c>
      <c r="K76" s="6">
        <f t="shared" si="4"/>
        <v>75.5</v>
      </c>
      <c r="L76" s="6" t="str">
        <f t="shared" si="5"/>
        <v>Low-Ticket</v>
      </c>
      <c r="M76" s="5" t="s">
        <v>424</v>
      </c>
      <c r="N76" s="5" t="s">
        <v>429</v>
      </c>
    </row>
    <row r="77" spans="1:14" x14ac:dyDescent="0.25">
      <c r="A77" t="s">
        <v>85</v>
      </c>
      <c r="B77" s="2">
        <v>45753</v>
      </c>
      <c r="C77" t="s">
        <v>282</v>
      </c>
      <c r="D77" s="14" t="s">
        <v>438</v>
      </c>
      <c r="E77" s="5" t="s">
        <v>397</v>
      </c>
      <c r="F77" t="s">
        <v>446</v>
      </c>
      <c r="G77" s="5" t="s">
        <v>419</v>
      </c>
      <c r="H77" s="7">
        <v>1</v>
      </c>
      <c r="I77" s="7" t="str">
        <f t="shared" si="3"/>
        <v>Small</v>
      </c>
      <c r="J77" s="6">
        <v>50</v>
      </c>
      <c r="K77" s="6">
        <f t="shared" si="4"/>
        <v>50</v>
      </c>
      <c r="L77" s="6" t="str">
        <f t="shared" si="5"/>
        <v>Low-Ticket</v>
      </c>
      <c r="M77" s="5" t="s">
        <v>425</v>
      </c>
      <c r="N77" s="5" t="s">
        <v>429</v>
      </c>
    </row>
    <row r="78" spans="1:14" x14ac:dyDescent="0.25">
      <c r="A78" t="s">
        <v>86</v>
      </c>
      <c r="B78" s="2">
        <v>45462</v>
      </c>
      <c r="C78" t="s">
        <v>283</v>
      </c>
      <c r="D78" s="14" t="s">
        <v>437</v>
      </c>
      <c r="E78" s="5" t="s">
        <v>395</v>
      </c>
      <c r="F78" t="s">
        <v>442</v>
      </c>
      <c r="G78" s="5" t="s">
        <v>418</v>
      </c>
      <c r="H78" s="7">
        <v>5</v>
      </c>
      <c r="I78" s="7" t="str">
        <f t="shared" si="3"/>
        <v>Small</v>
      </c>
      <c r="J78" s="6">
        <v>50</v>
      </c>
      <c r="K78" s="6">
        <f t="shared" si="4"/>
        <v>250</v>
      </c>
      <c r="L78" s="6" t="str">
        <f t="shared" si="5"/>
        <v>Low-Ticket</v>
      </c>
      <c r="M78" s="5" t="s">
        <v>425</v>
      </c>
      <c r="N78" s="5" t="s">
        <v>429</v>
      </c>
    </row>
    <row r="79" spans="1:14" x14ac:dyDescent="0.25">
      <c r="A79" t="s">
        <v>87</v>
      </c>
      <c r="B79" s="2">
        <v>45694</v>
      </c>
      <c r="C79" t="s">
        <v>284</v>
      </c>
      <c r="D79" s="14" t="s">
        <v>437</v>
      </c>
      <c r="E79" s="5" t="s">
        <v>396</v>
      </c>
      <c r="F79" t="s">
        <v>445</v>
      </c>
      <c r="G79" s="5" t="s">
        <v>420</v>
      </c>
      <c r="H79" s="7">
        <v>5</v>
      </c>
      <c r="I79" s="7" t="str">
        <f t="shared" si="3"/>
        <v>Small</v>
      </c>
      <c r="J79" s="6">
        <v>100</v>
      </c>
      <c r="K79" s="6">
        <f t="shared" si="4"/>
        <v>500</v>
      </c>
      <c r="L79" s="6" t="str">
        <f t="shared" si="5"/>
        <v>Low-Ticket</v>
      </c>
      <c r="M79" s="5" t="s">
        <v>425</v>
      </c>
      <c r="N79" s="5" t="s">
        <v>430</v>
      </c>
    </row>
    <row r="80" spans="1:14" x14ac:dyDescent="0.25">
      <c r="A80" t="s">
        <v>88</v>
      </c>
      <c r="B80" s="2">
        <v>45680</v>
      </c>
      <c r="C80" t="s">
        <v>285</v>
      </c>
      <c r="D80" s="14" t="s">
        <v>437</v>
      </c>
      <c r="E80" s="5" t="s">
        <v>395</v>
      </c>
      <c r="F80" t="s">
        <v>442</v>
      </c>
      <c r="G80" s="5" t="s">
        <v>419</v>
      </c>
      <c r="H80" s="7">
        <v>5</v>
      </c>
      <c r="I80" s="7" t="str">
        <f t="shared" si="3"/>
        <v>Small</v>
      </c>
      <c r="J80" s="6">
        <v>100</v>
      </c>
      <c r="K80" s="6">
        <f t="shared" si="4"/>
        <v>500</v>
      </c>
      <c r="L80" s="6" t="str">
        <f t="shared" si="5"/>
        <v>Low-Ticket</v>
      </c>
      <c r="M80" s="5" t="s">
        <v>426</v>
      </c>
      <c r="N80" s="5" t="s">
        <v>430</v>
      </c>
    </row>
    <row r="81" spans="1:14" x14ac:dyDescent="0.25">
      <c r="A81" t="s">
        <v>89</v>
      </c>
      <c r="B81" s="2">
        <v>45446</v>
      </c>
      <c r="C81" t="s">
        <v>212</v>
      </c>
      <c r="D81" s="14" t="s">
        <v>440</v>
      </c>
      <c r="E81" s="5" t="s">
        <v>402</v>
      </c>
      <c r="F81" t="s">
        <v>442</v>
      </c>
      <c r="G81" s="5" t="s">
        <v>418</v>
      </c>
      <c r="H81" s="7">
        <v>1</v>
      </c>
      <c r="I81" s="7" t="str">
        <f t="shared" si="3"/>
        <v>Small</v>
      </c>
      <c r="J81" s="6">
        <v>100</v>
      </c>
      <c r="K81" s="6">
        <f t="shared" si="4"/>
        <v>100</v>
      </c>
      <c r="L81" s="6" t="str">
        <f t="shared" si="5"/>
        <v>Low-Ticket</v>
      </c>
      <c r="M81" s="5" t="s">
        <v>424</v>
      </c>
      <c r="N81" s="5" t="s">
        <v>428</v>
      </c>
    </row>
    <row r="82" spans="1:14" x14ac:dyDescent="0.25">
      <c r="A82" t="s">
        <v>90</v>
      </c>
      <c r="B82" s="2">
        <v>45539</v>
      </c>
      <c r="C82" t="s">
        <v>286</v>
      </c>
      <c r="D82" s="14" t="s">
        <v>438</v>
      </c>
      <c r="E82" s="5" t="s">
        <v>397</v>
      </c>
      <c r="F82" t="s">
        <v>446</v>
      </c>
      <c r="G82" s="5" t="s">
        <v>417</v>
      </c>
      <c r="H82" s="7">
        <v>4</v>
      </c>
      <c r="I82" s="7" t="str">
        <f t="shared" si="3"/>
        <v>Small</v>
      </c>
      <c r="J82" s="6">
        <v>80</v>
      </c>
      <c r="K82" s="6">
        <f t="shared" si="4"/>
        <v>320</v>
      </c>
      <c r="L82" s="6" t="str">
        <f t="shared" si="5"/>
        <v>Low-Ticket</v>
      </c>
      <c r="M82" s="5" t="s">
        <v>425</v>
      </c>
      <c r="N82" s="5" t="s">
        <v>428</v>
      </c>
    </row>
    <row r="83" spans="1:14" x14ac:dyDescent="0.25">
      <c r="A83" t="s">
        <v>91</v>
      </c>
      <c r="B83" s="2">
        <v>45736</v>
      </c>
      <c r="C83" t="s">
        <v>287</v>
      </c>
      <c r="D83" s="14" t="s">
        <v>437</v>
      </c>
      <c r="E83" s="5" t="s">
        <v>398</v>
      </c>
      <c r="F83" t="s">
        <v>442</v>
      </c>
      <c r="G83" s="5" t="s">
        <v>417</v>
      </c>
      <c r="H83" s="7">
        <v>2</v>
      </c>
      <c r="I83" s="7" t="str">
        <f t="shared" si="3"/>
        <v>Small</v>
      </c>
      <c r="J83" s="6">
        <v>100</v>
      </c>
      <c r="K83" s="6">
        <f t="shared" si="4"/>
        <v>200</v>
      </c>
      <c r="L83" s="6" t="str">
        <f t="shared" si="5"/>
        <v>Low-Ticket</v>
      </c>
      <c r="M83" s="5" t="s">
        <v>424</v>
      </c>
      <c r="N83" s="5" t="s">
        <v>428</v>
      </c>
    </row>
    <row r="84" spans="1:14" x14ac:dyDescent="0.25">
      <c r="A84" t="s">
        <v>92</v>
      </c>
      <c r="B84" s="2">
        <v>45450</v>
      </c>
      <c r="C84" t="s">
        <v>219</v>
      </c>
      <c r="D84" s="14" t="s">
        <v>438</v>
      </c>
      <c r="E84" s="5" t="s">
        <v>407</v>
      </c>
      <c r="F84" t="s">
        <v>442</v>
      </c>
      <c r="G84" s="5" t="s">
        <v>419</v>
      </c>
      <c r="H84" s="7">
        <v>1</v>
      </c>
      <c r="I84" s="7" t="str">
        <f t="shared" si="3"/>
        <v>Small</v>
      </c>
      <c r="J84" s="6">
        <v>50</v>
      </c>
      <c r="K84" s="6">
        <f t="shared" si="4"/>
        <v>50</v>
      </c>
      <c r="L84" s="6" t="str">
        <f t="shared" si="5"/>
        <v>Low-Ticket</v>
      </c>
      <c r="M84" s="5" t="s">
        <v>424</v>
      </c>
      <c r="N84" s="5" t="s">
        <v>430</v>
      </c>
    </row>
    <row r="85" spans="1:14" x14ac:dyDescent="0.25">
      <c r="A85" t="s">
        <v>93</v>
      </c>
      <c r="B85" s="2">
        <v>45649</v>
      </c>
      <c r="C85" t="s">
        <v>288</v>
      </c>
      <c r="D85" s="14" t="s">
        <v>438</v>
      </c>
      <c r="E85" s="5" t="s">
        <v>397</v>
      </c>
      <c r="F85" t="s">
        <v>444</v>
      </c>
      <c r="G85" s="5" t="s">
        <v>420</v>
      </c>
      <c r="H85" s="7">
        <v>100</v>
      </c>
      <c r="I85" s="7" t="str">
        <f t="shared" si="3"/>
        <v>Big</v>
      </c>
      <c r="J85" s="6">
        <v>100</v>
      </c>
      <c r="K85" s="6">
        <f t="shared" si="4"/>
        <v>10000</v>
      </c>
      <c r="L85" s="6" t="str">
        <f t="shared" si="5"/>
        <v>High-Ticket</v>
      </c>
      <c r="M85" s="5" t="s">
        <v>425</v>
      </c>
      <c r="N85" s="5" t="s">
        <v>430</v>
      </c>
    </row>
    <row r="86" spans="1:14" x14ac:dyDescent="0.25">
      <c r="A86" t="s">
        <v>94</v>
      </c>
      <c r="B86" s="2">
        <v>45607</v>
      </c>
      <c r="C86" t="s">
        <v>289</v>
      </c>
      <c r="D86" s="14" t="s">
        <v>437</v>
      </c>
      <c r="E86" s="5" t="s">
        <v>398</v>
      </c>
      <c r="F86" t="s">
        <v>445</v>
      </c>
      <c r="G86" s="5" t="s">
        <v>417</v>
      </c>
      <c r="H86" s="7">
        <v>3</v>
      </c>
      <c r="I86" s="7" t="str">
        <f t="shared" si="3"/>
        <v>Small</v>
      </c>
      <c r="J86" s="6">
        <v>100</v>
      </c>
      <c r="K86" s="6">
        <f t="shared" si="4"/>
        <v>300</v>
      </c>
      <c r="L86" s="6" t="str">
        <f t="shared" si="5"/>
        <v>Low-Ticket</v>
      </c>
      <c r="M86" s="5" t="s">
        <v>424</v>
      </c>
      <c r="N86" s="5" t="s">
        <v>429</v>
      </c>
    </row>
    <row r="87" spans="1:14" x14ac:dyDescent="0.25">
      <c r="A87" t="s">
        <v>95</v>
      </c>
      <c r="B87" s="2">
        <v>45537</v>
      </c>
      <c r="C87" t="s">
        <v>290</v>
      </c>
      <c r="D87" s="14" t="s">
        <v>439</v>
      </c>
      <c r="E87" s="5" t="s">
        <v>399</v>
      </c>
      <c r="F87" t="s">
        <v>443</v>
      </c>
      <c r="G87" s="5" t="s">
        <v>417</v>
      </c>
      <c r="H87" s="7">
        <v>4</v>
      </c>
      <c r="I87" s="7" t="str">
        <f t="shared" si="3"/>
        <v>Small</v>
      </c>
      <c r="J87" s="6">
        <v>50</v>
      </c>
      <c r="K87" s="6">
        <f t="shared" si="4"/>
        <v>200</v>
      </c>
      <c r="L87" s="6" t="str">
        <f t="shared" si="5"/>
        <v>Low-Ticket</v>
      </c>
      <c r="M87" s="5" t="s">
        <v>426</v>
      </c>
      <c r="N87" s="5" t="s">
        <v>430</v>
      </c>
    </row>
    <row r="88" spans="1:14" x14ac:dyDescent="0.25">
      <c r="A88" t="s">
        <v>97</v>
      </c>
      <c r="B88" s="2">
        <v>45727</v>
      </c>
      <c r="C88" t="s">
        <v>291</v>
      </c>
      <c r="D88" s="14" t="s">
        <v>439</v>
      </c>
      <c r="E88" s="5" t="s">
        <v>408</v>
      </c>
      <c r="F88" t="s">
        <v>444</v>
      </c>
      <c r="G88" s="5" t="s">
        <v>416</v>
      </c>
      <c r="H88" s="7">
        <v>2</v>
      </c>
      <c r="I88" s="7" t="str">
        <f t="shared" si="3"/>
        <v>Small</v>
      </c>
      <c r="J88" s="6">
        <v>75.5</v>
      </c>
      <c r="K88" s="6">
        <f t="shared" si="4"/>
        <v>151</v>
      </c>
      <c r="L88" s="6" t="str">
        <f t="shared" si="5"/>
        <v>Low-Ticket</v>
      </c>
      <c r="M88" s="5" t="s">
        <v>424</v>
      </c>
      <c r="N88" s="5" t="s">
        <v>428</v>
      </c>
    </row>
    <row r="89" spans="1:14" x14ac:dyDescent="0.25">
      <c r="A89" t="s">
        <v>98</v>
      </c>
      <c r="B89" s="2">
        <v>45652</v>
      </c>
      <c r="C89" t="s">
        <v>292</v>
      </c>
      <c r="D89" s="14" t="s">
        <v>438</v>
      </c>
      <c r="E89" s="5" t="s">
        <v>397</v>
      </c>
      <c r="F89" t="s">
        <v>445</v>
      </c>
      <c r="G89" s="5" t="s">
        <v>417</v>
      </c>
      <c r="H89" s="7">
        <v>4</v>
      </c>
      <c r="I89" s="7" t="str">
        <f t="shared" si="3"/>
        <v>Small</v>
      </c>
      <c r="J89" s="6">
        <v>80</v>
      </c>
      <c r="K89" s="6">
        <f t="shared" si="4"/>
        <v>320</v>
      </c>
      <c r="L89" s="6" t="str">
        <f t="shared" si="5"/>
        <v>Low-Ticket</v>
      </c>
      <c r="M89" s="5" t="s">
        <v>426</v>
      </c>
      <c r="N89" s="5" t="s">
        <v>428</v>
      </c>
    </row>
    <row r="90" spans="1:14" x14ac:dyDescent="0.25">
      <c r="A90" t="s">
        <v>99</v>
      </c>
      <c r="B90" s="2">
        <v>45630</v>
      </c>
      <c r="C90" t="s">
        <v>293</v>
      </c>
      <c r="D90" s="14" t="s">
        <v>437</v>
      </c>
      <c r="E90" s="5" t="s">
        <v>396</v>
      </c>
      <c r="F90" t="s">
        <v>445</v>
      </c>
      <c r="G90" s="5" t="s">
        <v>417</v>
      </c>
      <c r="H90" s="7">
        <v>1</v>
      </c>
      <c r="I90" s="7" t="str">
        <f t="shared" si="3"/>
        <v>Small</v>
      </c>
      <c r="J90" s="6">
        <v>100</v>
      </c>
      <c r="K90" s="6">
        <f t="shared" si="4"/>
        <v>100</v>
      </c>
      <c r="L90" s="6" t="str">
        <f t="shared" si="5"/>
        <v>Low-Ticket</v>
      </c>
      <c r="M90" s="5" t="s">
        <v>425</v>
      </c>
      <c r="N90" s="5" t="s">
        <v>428</v>
      </c>
    </row>
    <row r="91" spans="1:14" x14ac:dyDescent="0.25">
      <c r="A91" t="s">
        <v>100</v>
      </c>
      <c r="B91" s="2">
        <v>45783</v>
      </c>
      <c r="C91" t="s">
        <v>294</v>
      </c>
      <c r="D91" s="14" t="s">
        <v>441</v>
      </c>
      <c r="E91" s="5" t="s">
        <v>404</v>
      </c>
      <c r="F91" t="s">
        <v>445</v>
      </c>
      <c r="G91" s="5" t="s">
        <v>418</v>
      </c>
      <c r="H91" s="7">
        <v>4</v>
      </c>
      <c r="I91" s="7" t="str">
        <f t="shared" si="3"/>
        <v>Small</v>
      </c>
      <c r="J91" s="6">
        <v>100</v>
      </c>
      <c r="K91" s="6">
        <f t="shared" si="4"/>
        <v>400</v>
      </c>
      <c r="L91" s="6" t="str">
        <f t="shared" si="5"/>
        <v>Low-Ticket</v>
      </c>
      <c r="M91" s="5" t="s">
        <v>426</v>
      </c>
      <c r="N91" s="5" t="s">
        <v>428</v>
      </c>
    </row>
    <row r="92" spans="1:14" x14ac:dyDescent="0.25">
      <c r="A92" t="s">
        <v>101</v>
      </c>
      <c r="B92" s="2">
        <v>45631</v>
      </c>
      <c r="C92" t="s">
        <v>295</v>
      </c>
      <c r="D92" s="14" t="s">
        <v>438</v>
      </c>
      <c r="E92" s="5" t="s">
        <v>407</v>
      </c>
      <c r="F92" t="s">
        <v>443</v>
      </c>
      <c r="G92" s="5" t="s">
        <v>420</v>
      </c>
      <c r="H92" s="7">
        <v>5</v>
      </c>
      <c r="I92" s="7" t="str">
        <f t="shared" si="3"/>
        <v>Small</v>
      </c>
      <c r="J92" s="6">
        <v>80</v>
      </c>
      <c r="K92" s="6">
        <f t="shared" si="4"/>
        <v>400</v>
      </c>
      <c r="L92" s="6" t="str">
        <f t="shared" si="5"/>
        <v>Low-Ticket</v>
      </c>
      <c r="M92" s="5" t="s">
        <v>425</v>
      </c>
      <c r="N92" s="5" t="s">
        <v>429</v>
      </c>
    </row>
    <row r="93" spans="1:14" x14ac:dyDescent="0.25">
      <c r="A93" t="s">
        <v>102</v>
      </c>
      <c r="B93" s="2">
        <v>45743</v>
      </c>
      <c r="C93" t="s">
        <v>296</v>
      </c>
      <c r="D93" s="14" t="s">
        <v>440</v>
      </c>
      <c r="E93" s="5" t="s">
        <v>406</v>
      </c>
      <c r="F93" t="s">
        <v>444</v>
      </c>
      <c r="G93" s="5" t="s">
        <v>419</v>
      </c>
      <c r="H93" s="7">
        <v>4</v>
      </c>
      <c r="I93" s="7" t="str">
        <f t="shared" si="3"/>
        <v>Small</v>
      </c>
      <c r="J93" s="6">
        <v>100</v>
      </c>
      <c r="K93" s="6">
        <f t="shared" si="4"/>
        <v>400</v>
      </c>
      <c r="L93" s="6" t="str">
        <f t="shared" si="5"/>
        <v>Low-Ticket</v>
      </c>
      <c r="M93" s="5" t="s">
        <v>426</v>
      </c>
      <c r="N93" s="5" t="s">
        <v>430</v>
      </c>
    </row>
    <row r="94" spans="1:14" x14ac:dyDescent="0.25">
      <c r="A94" t="s">
        <v>103</v>
      </c>
      <c r="B94" s="2">
        <v>45502</v>
      </c>
      <c r="C94" t="s">
        <v>288</v>
      </c>
      <c r="D94" s="14" t="s">
        <v>440</v>
      </c>
      <c r="E94" s="5" t="s">
        <v>402</v>
      </c>
      <c r="F94" t="s">
        <v>443</v>
      </c>
      <c r="G94" s="5" t="s">
        <v>420</v>
      </c>
      <c r="H94" s="7">
        <v>1</v>
      </c>
      <c r="I94" s="7" t="str">
        <f t="shared" si="3"/>
        <v>Small</v>
      </c>
      <c r="J94" s="6">
        <v>75.5</v>
      </c>
      <c r="K94" s="6">
        <f t="shared" si="4"/>
        <v>75.5</v>
      </c>
      <c r="L94" s="6" t="str">
        <f t="shared" si="5"/>
        <v>Low-Ticket</v>
      </c>
      <c r="M94" s="5" t="s">
        <v>426</v>
      </c>
      <c r="N94" s="5" t="s">
        <v>428</v>
      </c>
    </row>
    <row r="95" spans="1:14" x14ac:dyDescent="0.25">
      <c r="A95" t="s">
        <v>104</v>
      </c>
      <c r="B95" s="2">
        <v>45485</v>
      </c>
      <c r="C95" t="s">
        <v>297</v>
      </c>
      <c r="D95" s="14" t="s">
        <v>437</v>
      </c>
      <c r="E95" s="5" t="s">
        <v>396</v>
      </c>
      <c r="F95" t="s">
        <v>443</v>
      </c>
      <c r="G95" s="5" t="s">
        <v>417</v>
      </c>
      <c r="H95" s="7">
        <v>3</v>
      </c>
      <c r="I95" s="7" t="str">
        <f t="shared" si="3"/>
        <v>Small</v>
      </c>
      <c r="J95" s="6">
        <v>50</v>
      </c>
      <c r="K95" s="6">
        <f t="shared" si="4"/>
        <v>150</v>
      </c>
      <c r="L95" s="6" t="str">
        <f t="shared" si="5"/>
        <v>Low-Ticket</v>
      </c>
      <c r="M95" s="5" t="s">
        <v>424</v>
      </c>
      <c r="N95" s="5" t="s">
        <v>429</v>
      </c>
    </row>
    <row r="96" spans="1:14" x14ac:dyDescent="0.25">
      <c r="A96" t="s">
        <v>105</v>
      </c>
      <c r="B96" s="2">
        <v>45665</v>
      </c>
      <c r="C96" t="s">
        <v>298</v>
      </c>
      <c r="D96" s="14" t="s">
        <v>440</v>
      </c>
      <c r="E96" s="5" t="s">
        <v>401</v>
      </c>
      <c r="F96" t="s">
        <v>444</v>
      </c>
      <c r="G96" s="5" t="s">
        <v>417</v>
      </c>
      <c r="H96" s="7">
        <v>2</v>
      </c>
      <c r="I96" s="7" t="str">
        <f t="shared" si="3"/>
        <v>Small</v>
      </c>
      <c r="J96" s="6">
        <v>100</v>
      </c>
      <c r="K96" s="6">
        <f t="shared" si="4"/>
        <v>200</v>
      </c>
      <c r="L96" s="6" t="str">
        <f t="shared" si="5"/>
        <v>Low-Ticket</v>
      </c>
      <c r="M96" s="5" t="s">
        <v>424</v>
      </c>
      <c r="N96" s="5" t="s">
        <v>430</v>
      </c>
    </row>
    <row r="97" spans="1:14" x14ac:dyDescent="0.25">
      <c r="A97" t="s">
        <v>106</v>
      </c>
      <c r="B97" s="2">
        <v>45724</v>
      </c>
      <c r="C97" t="s">
        <v>227</v>
      </c>
      <c r="D97" s="14" t="s">
        <v>440</v>
      </c>
      <c r="E97" s="5" t="s">
        <v>402</v>
      </c>
      <c r="F97" t="s">
        <v>446</v>
      </c>
      <c r="G97" s="5" t="s">
        <v>419</v>
      </c>
      <c r="H97" s="7">
        <v>2</v>
      </c>
      <c r="I97" s="7" t="str">
        <f t="shared" si="3"/>
        <v>Small</v>
      </c>
      <c r="J97" s="6">
        <v>75.5</v>
      </c>
      <c r="K97" s="6">
        <f t="shared" si="4"/>
        <v>151</v>
      </c>
      <c r="L97" s="6" t="str">
        <f t="shared" si="5"/>
        <v>Low-Ticket</v>
      </c>
      <c r="M97" s="5" t="s">
        <v>425</v>
      </c>
      <c r="N97" s="5" t="s">
        <v>430</v>
      </c>
    </row>
    <row r="98" spans="1:14" x14ac:dyDescent="0.25">
      <c r="A98" t="s">
        <v>56</v>
      </c>
      <c r="B98" s="2">
        <v>45569</v>
      </c>
      <c r="C98" t="s">
        <v>299</v>
      </c>
      <c r="D98" s="14" t="s">
        <v>439</v>
      </c>
      <c r="E98" s="5" t="s">
        <v>408</v>
      </c>
      <c r="F98" t="s">
        <v>445</v>
      </c>
      <c r="G98" s="5" t="s">
        <v>417</v>
      </c>
      <c r="H98" s="7">
        <v>5</v>
      </c>
      <c r="I98" s="7" t="str">
        <f t="shared" si="3"/>
        <v>Small</v>
      </c>
      <c r="J98" s="6">
        <v>100</v>
      </c>
      <c r="K98" s="6">
        <f t="shared" si="4"/>
        <v>500</v>
      </c>
      <c r="L98" s="6" t="str">
        <f t="shared" si="5"/>
        <v>Low-Ticket</v>
      </c>
      <c r="M98" s="5" t="s">
        <v>425</v>
      </c>
      <c r="N98" s="5" t="s">
        <v>430</v>
      </c>
    </row>
    <row r="99" spans="1:14" x14ac:dyDescent="0.25">
      <c r="A99" t="s">
        <v>107</v>
      </c>
      <c r="B99" s="2">
        <v>45758</v>
      </c>
      <c r="C99" t="s">
        <v>300</v>
      </c>
      <c r="D99" s="14" t="s">
        <v>437</v>
      </c>
      <c r="E99" s="5" t="s">
        <v>395</v>
      </c>
      <c r="F99" t="s">
        <v>445</v>
      </c>
      <c r="G99" s="5" t="s">
        <v>418</v>
      </c>
      <c r="H99" s="7">
        <v>1</v>
      </c>
      <c r="I99" s="7" t="str">
        <f t="shared" si="3"/>
        <v>Small</v>
      </c>
      <c r="J99" s="6">
        <v>50</v>
      </c>
      <c r="K99" s="6">
        <f t="shared" si="4"/>
        <v>50</v>
      </c>
      <c r="L99" s="6" t="str">
        <f t="shared" si="5"/>
        <v>Low-Ticket</v>
      </c>
      <c r="M99" s="5" t="s">
        <v>425</v>
      </c>
      <c r="N99" s="5" t="s">
        <v>429</v>
      </c>
    </row>
    <row r="100" spans="1:14" x14ac:dyDescent="0.25">
      <c r="A100" t="s">
        <v>108</v>
      </c>
      <c r="B100" s="2">
        <v>45454</v>
      </c>
      <c r="C100" t="s">
        <v>221</v>
      </c>
      <c r="D100" s="14" t="s">
        <v>441</v>
      </c>
      <c r="E100" s="5" t="s">
        <v>409</v>
      </c>
      <c r="F100" t="s">
        <v>446</v>
      </c>
      <c r="G100" s="5" t="s">
        <v>416</v>
      </c>
      <c r="H100" s="7">
        <v>100</v>
      </c>
      <c r="I100" s="7" t="str">
        <f t="shared" si="3"/>
        <v>Big</v>
      </c>
      <c r="J100" s="6">
        <v>75.5</v>
      </c>
      <c r="K100" s="6">
        <f t="shared" si="4"/>
        <v>7550</v>
      </c>
      <c r="L100" s="6" t="str">
        <f t="shared" si="5"/>
        <v>High-Ticket</v>
      </c>
      <c r="M100" s="5" t="s">
        <v>424</v>
      </c>
      <c r="N100" s="5" t="s">
        <v>429</v>
      </c>
    </row>
    <row r="101" spans="1:14" x14ac:dyDescent="0.25">
      <c r="A101" t="s">
        <v>109</v>
      </c>
      <c r="B101" s="2">
        <v>45501</v>
      </c>
      <c r="C101" t="s">
        <v>301</v>
      </c>
      <c r="D101" s="14" t="s">
        <v>437</v>
      </c>
      <c r="E101" s="5" t="s">
        <v>398</v>
      </c>
      <c r="F101" t="s">
        <v>445</v>
      </c>
      <c r="G101" s="5" t="s">
        <v>417</v>
      </c>
      <c r="H101" s="7">
        <v>5</v>
      </c>
      <c r="I101" s="7" t="str">
        <f t="shared" si="3"/>
        <v>Small</v>
      </c>
      <c r="J101" s="6">
        <v>50</v>
      </c>
      <c r="K101" s="6">
        <f t="shared" si="4"/>
        <v>250</v>
      </c>
      <c r="L101" s="6" t="str">
        <f t="shared" si="5"/>
        <v>Low-Ticket</v>
      </c>
      <c r="M101" s="5" t="s">
        <v>424</v>
      </c>
      <c r="N101" s="5" t="s">
        <v>428</v>
      </c>
    </row>
    <row r="102" spans="1:14" x14ac:dyDescent="0.25">
      <c r="A102" t="s">
        <v>110</v>
      </c>
      <c r="B102" s="2">
        <v>45720</v>
      </c>
      <c r="C102" t="s">
        <v>302</v>
      </c>
      <c r="D102" s="14" t="s">
        <v>440</v>
      </c>
      <c r="E102" s="5" t="s">
        <v>401</v>
      </c>
      <c r="F102" t="s">
        <v>446</v>
      </c>
      <c r="G102" s="5" t="s">
        <v>420</v>
      </c>
      <c r="H102" s="7">
        <v>4</v>
      </c>
      <c r="I102" s="7" t="str">
        <f t="shared" si="3"/>
        <v>Small</v>
      </c>
      <c r="J102" s="6">
        <v>100</v>
      </c>
      <c r="K102" s="6">
        <f t="shared" si="4"/>
        <v>400</v>
      </c>
      <c r="L102" s="6" t="str">
        <f t="shared" si="5"/>
        <v>Low-Ticket</v>
      </c>
      <c r="M102" s="5" t="s">
        <v>426</v>
      </c>
      <c r="N102" s="5" t="s">
        <v>428</v>
      </c>
    </row>
    <row r="103" spans="1:14" x14ac:dyDescent="0.25">
      <c r="A103" t="s">
        <v>111</v>
      </c>
      <c r="B103" s="2">
        <v>45776</v>
      </c>
      <c r="C103" t="s">
        <v>303</v>
      </c>
      <c r="D103" s="14" t="s">
        <v>437</v>
      </c>
      <c r="E103" s="5" t="s">
        <v>396</v>
      </c>
      <c r="F103" t="s">
        <v>444</v>
      </c>
      <c r="G103" s="5" t="s">
        <v>419</v>
      </c>
      <c r="H103" s="7">
        <v>5</v>
      </c>
      <c r="I103" s="7" t="str">
        <f t="shared" si="3"/>
        <v>Small</v>
      </c>
      <c r="J103" s="6">
        <v>80</v>
      </c>
      <c r="K103" s="6">
        <f t="shared" si="4"/>
        <v>400</v>
      </c>
      <c r="L103" s="6" t="str">
        <f t="shared" si="5"/>
        <v>Low-Ticket</v>
      </c>
      <c r="M103" s="5" t="s">
        <v>425</v>
      </c>
      <c r="N103" s="5" t="s">
        <v>428</v>
      </c>
    </row>
    <row r="104" spans="1:14" x14ac:dyDescent="0.25">
      <c r="A104" t="s">
        <v>112</v>
      </c>
      <c r="B104" s="2">
        <v>45768</v>
      </c>
      <c r="C104" t="s">
        <v>304</v>
      </c>
      <c r="D104" s="14" t="s">
        <v>438</v>
      </c>
      <c r="E104" s="5" t="s">
        <v>407</v>
      </c>
      <c r="F104" t="s">
        <v>446</v>
      </c>
      <c r="G104" s="5" t="s">
        <v>418</v>
      </c>
      <c r="H104" s="7">
        <v>2</v>
      </c>
      <c r="I104" s="7" t="str">
        <f t="shared" si="3"/>
        <v>Small</v>
      </c>
      <c r="J104" s="6">
        <v>75.5</v>
      </c>
      <c r="K104" s="6">
        <f t="shared" si="4"/>
        <v>151</v>
      </c>
      <c r="L104" s="6" t="str">
        <f t="shared" si="5"/>
        <v>Low-Ticket</v>
      </c>
      <c r="M104" s="5" t="s">
        <v>424</v>
      </c>
      <c r="N104" s="5" t="s">
        <v>428</v>
      </c>
    </row>
    <row r="105" spans="1:14" x14ac:dyDescent="0.25">
      <c r="A105" t="s">
        <v>113</v>
      </c>
      <c r="B105" s="2">
        <v>45740</v>
      </c>
      <c r="C105" t="s">
        <v>305</v>
      </c>
      <c r="D105" s="14" t="s">
        <v>439</v>
      </c>
      <c r="E105" s="5" t="s">
        <v>408</v>
      </c>
      <c r="F105" t="s">
        <v>446</v>
      </c>
      <c r="G105" s="5" t="s">
        <v>418</v>
      </c>
      <c r="H105" s="7">
        <v>2</v>
      </c>
      <c r="I105" s="7" t="str">
        <f t="shared" si="3"/>
        <v>Small</v>
      </c>
      <c r="J105" s="6">
        <v>50</v>
      </c>
      <c r="K105" s="6">
        <f t="shared" si="4"/>
        <v>100</v>
      </c>
      <c r="L105" s="6" t="str">
        <f t="shared" si="5"/>
        <v>Low-Ticket</v>
      </c>
      <c r="M105" s="5" t="s">
        <v>426</v>
      </c>
      <c r="N105" s="5" t="s">
        <v>429</v>
      </c>
    </row>
    <row r="106" spans="1:14" x14ac:dyDescent="0.25">
      <c r="A106" t="s">
        <v>114</v>
      </c>
      <c r="B106" s="2">
        <v>45511</v>
      </c>
      <c r="C106" t="s">
        <v>306</v>
      </c>
      <c r="D106" s="14" t="s">
        <v>441</v>
      </c>
      <c r="E106" s="5" t="s">
        <v>410</v>
      </c>
      <c r="F106" t="s">
        <v>444</v>
      </c>
      <c r="G106" s="5" t="s">
        <v>420</v>
      </c>
      <c r="H106" s="7">
        <v>100</v>
      </c>
      <c r="I106" s="7" t="str">
        <f t="shared" si="3"/>
        <v>Big</v>
      </c>
      <c r="J106" s="6">
        <v>50</v>
      </c>
      <c r="K106" s="6">
        <f t="shared" si="4"/>
        <v>5000</v>
      </c>
      <c r="L106" s="6" t="str">
        <f t="shared" si="5"/>
        <v>High-Ticket</v>
      </c>
      <c r="M106" s="5" t="s">
        <v>426</v>
      </c>
      <c r="N106" s="5" t="s">
        <v>428</v>
      </c>
    </row>
    <row r="107" spans="1:14" x14ac:dyDescent="0.25">
      <c r="A107" t="s">
        <v>115</v>
      </c>
      <c r="B107" s="2">
        <v>45798</v>
      </c>
      <c r="C107" t="s">
        <v>307</v>
      </c>
      <c r="D107" s="14" t="s">
        <v>439</v>
      </c>
      <c r="E107" s="5" t="s">
        <v>400</v>
      </c>
      <c r="F107" t="s">
        <v>446</v>
      </c>
      <c r="G107" s="5" t="s">
        <v>418</v>
      </c>
      <c r="H107" s="7">
        <v>4</v>
      </c>
      <c r="I107" s="7" t="str">
        <f t="shared" si="3"/>
        <v>Small</v>
      </c>
      <c r="J107" s="6">
        <v>50</v>
      </c>
      <c r="K107" s="6">
        <f t="shared" si="4"/>
        <v>200</v>
      </c>
      <c r="L107" s="6" t="str">
        <f t="shared" si="5"/>
        <v>Low-Ticket</v>
      </c>
      <c r="M107" s="5" t="s">
        <v>424</v>
      </c>
      <c r="N107" s="5" t="s">
        <v>430</v>
      </c>
    </row>
    <row r="108" spans="1:14" x14ac:dyDescent="0.25">
      <c r="A108" t="s">
        <v>116</v>
      </c>
      <c r="B108" s="2">
        <v>45629</v>
      </c>
      <c r="C108" t="s">
        <v>308</v>
      </c>
      <c r="D108" s="14" t="s">
        <v>440</v>
      </c>
      <c r="E108" s="5" t="s">
        <v>406</v>
      </c>
      <c r="F108" t="s">
        <v>443</v>
      </c>
      <c r="G108" s="5" t="s">
        <v>419</v>
      </c>
      <c r="H108" s="7">
        <v>2</v>
      </c>
      <c r="I108" s="7" t="str">
        <f t="shared" si="3"/>
        <v>Small</v>
      </c>
      <c r="J108" s="6">
        <v>50</v>
      </c>
      <c r="K108" s="6">
        <f t="shared" si="4"/>
        <v>100</v>
      </c>
      <c r="L108" s="6" t="str">
        <f t="shared" si="5"/>
        <v>Low-Ticket</v>
      </c>
      <c r="M108" s="5" t="s">
        <v>426</v>
      </c>
      <c r="N108" s="5" t="s">
        <v>428</v>
      </c>
    </row>
    <row r="109" spans="1:14" x14ac:dyDescent="0.25">
      <c r="A109" t="s">
        <v>119</v>
      </c>
      <c r="B109" s="2">
        <v>45621</v>
      </c>
      <c r="C109" t="s">
        <v>309</v>
      </c>
      <c r="D109" s="14" t="s">
        <v>439</v>
      </c>
      <c r="E109" s="5" t="s">
        <v>400</v>
      </c>
      <c r="F109" t="s">
        <v>443</v>
      </c>
      <c r="G109" s="5" t="s">
        <v>417</v>
      </c>
      <c r="H109" s="7">
        <v>5</v>
      </c>
      <c r="I109" s="7" t="str">
        <f t="shared" si="3"/>
        <v>Small</v>
      </c>
      <c r="J109" s="6">
        <v>80</v>
      </c>
      <c r="K109" s="6">
        <f t="shared" si="4"/>
        <v>400</v>
      </c>
      <c r="L109" s="6" t="str">
        <f t="shared" si="5"/>
        <v>Low-Ticket</v>
      </c>
      <c r="M109" s="5" t="s">
        <v>426</v>
      </c>
      <c r="N109" s="5" t="s">
        <v>430</v>
      </c>
    </row>
    <row r="110" spans="1:14" x14ac:dyDescent="0.25">
      <c r="A110" t="s">
        <v>120</v>
      </c>
      <c r="B110" s="2">
        <v>45796</v>
      </c>
      <c r="C110" t="s">
        <v>295</v>
      </c>
      <c r="D110" s="14" t="s">
        <v>438</v>
      </c>
      <c r="E110" s="5" t="s">
        <v>403</v>
      </c>
      <c r="F110" t="s">
        <v>444</v>
      </c>
      <c r="G110" s="5" t="s">
        <v>417</v>
      </c>
      <c r="H110" s="7">
        <v>2</v>
      </c>
      <c r="I110" s="7" t="str">
        <f t="shared" si="3"/>
        <v>Small</v>
      </c>
      <c r="J110" s="6">
        <v>80</v>
      </c>
      <c r="K110" s="6">
        <f t="shared" si="4"/>
        <v>160</v>
      </c>
      <c r="L110" s="6" t="str">
        <f t="shared" si="5"/>
        <v>Low-Ticket</v>
      </c>
      <c r="M110" s="5" t="s">
        <v>425</v>
      </c>
      <c r="N110" s="5" t="s">
        <v>430</v>
      </c>
    </row>
    <row r="111" spans="1:14" x14ac:dyDescent="0.25">
      <c r="A111" t="s">
        <v>121</v>
      </c>
      <c r="B111" s="2">
        <v>45769</v>
      </c>
      <c r="C111" t="s">
        <v>310</v>
      </c>
      <c r="D111" s="14" t="s">
        <v>439</v>
      </c>
      <c r="E111" s="5" t="s">
        <v>399</v>
      </c>
      <c r="F111" t="s">
        <v>446</v>
      </c>
      <c r="G111" s="5" t="s">
        <v>418</v>
      </c>
      <c r="H111" s="7">
        <v>5</v>
      </c>
      <c r="I111" s="7" t="str">
        <f t="shared" si="3"/>
        <v>Small</v>
      </c>
      <c r="J111" s="6">
        <v>50</v>
      </c>
      <c r="K111" s="6">
        <f t="shared" si="4"/>
        <v>250</v>
      </c>
      <c r="L111" s="6" t="str">
        <f t="shared" si="5"/>
        <v>Low-Ticket</v>
      </c>
      <c r="M111" s="5" t="s">
        <v>424</v>
      </c>
      <c r="N111" s="5" t="s">
        <v>429</v>
      </c>
    </row>
    <row r="112" spans="1:14" x14ac:dyDescent="0.25">
      <c r="A112" t="s">
        <v>122</v>
      </c>
      <c r="B112" s="2">
        <v>45494</v>
      </c>
      <c r="C112" t="s">
        <v>311</v>
      </c>
      <c r="D112" s="14" t="s">
        <v>439</v>
      </c>
      <c r="E112" s="5" t="s">
        <v>408</v>
      </c>
      <c r="F112" t="s">
        <v>445</v>
      </c>
      <c r="G112" s="5" t="s">
        <v>419</v>
      </c>
      <c r="H112" s="7">
        <v>1</v>
      </c>
      <c r="I112" s="7" t="str">
        <f t="shared" si="3"/>
        <v>Small</v>
      </c>
      <c r="J112" s="6">
        <v>50</v>
      </c>
      <c r="K112" s="6">
        <f t="shared" si="4"/>
        <v>50</v>
      </c>
      <c r="L112" s="6" t="str">
        <f t="shared" si="5"/>
        <v>Low-Ticket</v>
      </c>
      <c r="M112" s="5" t="s">
        <v>424</v>
      </c>
      <c r="N112" s="5" t="s">
        <v>428</v>
      </c>
    </row>
    <row r="113" spans="1:14" x14ac:dyDescent="0.25">
      <c r="A113" t="s">
        <v>123</v>
      </c>
      <c r="B113" s="2">
        <v>45697</v>
      </c>
      <c r="C113" t="s">
        <v>312</v>
      </c>
      <c r="D113" s="14" t="s">
        <v>440</v>
      </c>
      <c r="E113" s="5" t="s">
        <v>406</v>
      </c>
      <c r="F113" t="s">
        <v>443</v>
      </c>
      <c r="G113" s="5" t="s">
        <v>420</v>
      </c>
      <c r="H113" s="7">
        <v>1</v>
      </c>
      <c r="I113" s="7" t="str">
        <f t="shared" si="3"/>
        <v>Small</v>
      </c>
      <c r="J113" s="6">
        <v>100</v>
      </c>
      <c r="K113" s="6">
        <f t="shared" si="4"/>
        <v>100</v>
      </c>
      <c r="L113" s="6" t="str">
        <f t="shared" si="5"/>
        <v>Low-Ticket</v>
      </c>
      <c r="M113" s="5" t="s">
        <v>424</v>
      </c>
      <c r="N113" s="5" t="s">
        <v>429</v>
      </c>
    </row>
    <row r="114" spans="1:14" x14ac:dyDescent="0.25">
      <c r="A114" t="s">
        <v>124</v>
      </c>
      <c r="B114" s="2">
        <v>45732</v>
      </c>
      <c r="C114" t="s">
        <v>313</v>
      </c>
      <c r="D114" s="14" t="s">
        <v>439</v>
      </c>
      <c r="E114" s="5" t="s">
        <v>400</v>
      </c>
      <c r="F114" t="s">
        <v>442</v>
      </c>
      <c r="G114" s="5" t="s">
        <v>416</v>
      </c>
      <c r="H114" s="7">
        <v>1</v>
      </c>
      <c r="I114" s="7" t="str">
        <f t="shared" si="3"/>
        <v>Small</v>
      </c>
      <c r="J114" s="6">
        <v>50</v>
      </c>
      <c r="K114" s="6">
        <f t="shared" si="4"/>
        <v>50</v>
      </c>
      <c r="L114" s="6" t="str">
        <f t="shared" si="5"/>
        <v>Low-Ticket</v>
      </c>
      <c r="M114" s="5" t="s">
        <v>424</v>
      </c>
      <c r="N114" s="5" t="s">
        <v>428</v>
      </c>
    </row>
    <row r="115" spans="1:14" x14ac:dyDescent="0.25">
      <c r="A115" t="s">
        <v>125</v>
      </c>
      <c r="B115" s="2">
        <v>45776</v>
      </c>
      <c r="C115" t="s">
        <v>314</v>
      </c>
      <c r="D115" s="14" t="s">
        <v>440</v>
      </c>
      <c r="E115" s="5" t="s">
        <v>406</v>
      </c>
      <c r="F115" t="s">
        <v>446</v>
      </c>
      <c r="G115" s="5" t="s">
        <v>419</v>
      </c>
      <c r="H115" s="7">
        <v>4</v>
      </c>
      <c r="I115" s="7" t="str">
        <f t="shared" si="3"/>
        <v>Small</v>
      </c>
      <c r="J115" s="6">
        <v>50</v>
      </c>
      <c r="K115" s="6">
        <f t="shared" si="4"/>
        <v>200</v>
      </c>
      <c r="L115" s="6" t="str">
        <f t="shared" si="5"/>
        <v>Low-Ticket</v>
      </c>
      <c r="M115" s="5" t="s">
        <v>424</v>
      </c>
      <c r="N115" s="5" t="s">
        <v>430</v>
      </c>
    </row>
    <row r="116" spans="1:14" x14ac:dyDescent="0.25">
      <c r="A116" t="s">
        <v>126</v>
      </c>
      <c r="B116" s="2">
        <v>45759</v>
      </c>
      <c r="C116" t="s">
        <v>315</v>
      </c>
      <c r="D116" s="14" t="s">
        <v>440</v>
      </c>
      <c r="E116" s="5" t="s">
        <v>401</v>
      </c>
      <c r="F116" t="s">
        <v>442</v>
      </c>
      <c r="G116" s="5" t="s">
        <v>420</v>
      </c>
      <c r="H116" s="7">
        <v>2</v>
      </c>
      <c r="I116" s="7" t="str">
        <f t="shared" si="3"/>
        <v>Small</v>
      </c>
      <c r="J116" s="6">
        <v>100</v>
      </c>
      <c r="K116" s="6">
        <f t="shared" si="4"/>
        <v>200</v>
      </c>
      <c r="L116" s="6" t="str">
        <f t="shared" si="5"/>
        <v>Low-Ticket</v>
      </c>
      <c r="M116" s="5" t="s">
        <v>425</v>
      </c>
      <c r="N116" s="5" t="s">
        <v>430</v>
      </c>
    </row>
    <row r="117" spans="1:14" x14ac:dyDescent="0.25">
      <c r="A117" t="s">
        <v>127</v>
      </c>
      <c r="B117" s="2">
        <v>45664</v>
      </c>
      <c r="C117" t="s">
        <v>316</v>
      </c>
      <c r="D117" s="14" t="s">
        <v>439</v>
      </c>
      <c r="E117" s="5" t="s">
        <v>400</v>
      </c>
      <c r="F117" t="s">
        <v>443</v>
      </c>
      <c r="G117" s="5" t="s">
        <v>418</v>
      </c>
      <c r="H117" s="7">
        <v>100</v>
      </c>
      <c r="I117" s="7" t="str">
        <f t="shared" si="3"/>
        <v>Big</v>
      </c>
      <c r="J117" s="6">
        <v>100</v>
      </c>
      <c r="K117" s="6">
        <f t="shared" si="4"/>
        <v>10000</v>
      </c>
      <c r="L117" s="6" t="str">
        <f t="shared" si="5"/>
        <v>High-Ticket</v>
      </c>
      <c r="M117" s="5" t="s">
        <v>424</v>
      </c>
      <c r="N117" s="5" t="s">
        <v>429</v>
      </c>
    </row>
    <row r="118" spans="1:14" x14ac:dyDescent="0.25">
      <c r="A118" t="s">
        <v>129</v>
      </c>
      <c r="B118" s="2">
        <v>45750</v>
      </c>
      <c r="C118" t="s">
        <v>317</v>
      </c>
      <c r="D118" s="14" t="s">
        <v>440</v>
      </c>
      <c r="E118" s="5" t="s">
        <v>401</v>
      </c>
      <c r="F118" t="s">
        <v>443</v>
      </c>
      <c r="G118" s="5" t="s">
        <v>417</v>
      </c>
      <c r="H118" s="7">
        <v>3</v>
      </c>
      <c r="I118" s="7" t="str">
        <f t="shared" si="3"/>
        <v>Small</v>
      </c>
      <c r="J118" s="6">
        <v>50</v>
      </c>
      <c r="K118" s="6">
        <f t="shared" si="4"/>
        <v>150</v>
      </c>
      <c r="L118" s="6" t="str">
        <f t="shared" si="5"/>
        <v>Low-Ticket</v>
      </c>
      <c r="M118" s="5" t="s">
        <v>424</v>
      </c>
      <c r="N118" s="5" t="s">
        <v>429</v>
      </c>
    </row>
    <row r="119" spans="1:14" x14ac:dyDescent="0.25">
      <c r="A119" t="s">
        <v>130</v>
      </c>
      <c r="B119" s="2">
        <v>45574</v>
      </c>
      <c r="C119" t="s">
        <v>318</v>
      </c>
      <c r="D119" s="14" t="s">
        <v>437</v>
      </c>
      <c r="E119" s="5" t="s">
        <v>395</v>
      </c>
      <c r="F119" t="s">
        <v>446</v>
      </c>
      <c r="G119" s="5" t="s">
        <v>417</v>
      </c>
      <c r="H119" s="7">
        <v>5</v>
      </c>
      <c r="I119" s="7" t="str">
        <f t="shared" si="3"/>
        <v>Small</v>
      </c>
      <c r="J119" s="6">
        <v>50</v>
      </c>
      <c r="K119" s="6">
        <f t="shared" si="4"/>
        <v>250</v>
      </c>
      <c r="L119" s="6" t="str">
        <f t="shared" si="5"/>
        <v>Low-Ticket</v>
      </c>
      <c r="M119" s="5" t="s">
        <v>424</v>
      </c>
      <c r="N119" s="5" t="s">
        <v>430</v>
      </c>
    </row>
    <row r="120" spans="1:14" x14ac:dyDescent="0.25">
      <c r="A120" t="s">
        <v>131</v>
      </c>
      <c r="B120" s="2">
        <v>45532</v>
      </c>
      <c r="C120" t="s">
        <v>319</v>
      </c>
      <c r="D120" s="14" t="s">
        <v>439</v>
      </c>
      <c r="E120" s="5" t="s">
        <v>408</v>
      </c>
      <c r="F120" t="s">
        <v>446</v>
      </c>
      <c r="G120" s="5" t="s">
        <v>419</v>
      </c>
      <c r="H120" s="7">
        <v>5</v>
      </c>
      <c r="I120" s="7" t="str">
        <f t="shared" si="3"/>
        <v>Small</v>
      </c>
      <c r="J120" s="6">
        <v>100</v>
      </c>
      <c r="K120" s="6">
        <f t="shared" si="4"/>
        <v>500</v>
      </c>
      <c r="L120" s="6" t="str">
        <f t="shared" si="5"/>
        <v>Low-Ticket</v>
      </c>
      <c r="M120" s="5" t="s">
        <v>426</v>
      </c>
      <c r="N120" s="5" t="s">
        <v>428</v>
      </c>
    </row>
    <row r="121" spans="1:14" x14ac:dyDescent="0.25">
      <c r="A121" t="s">
        <v>132</v>
      </c>
      <c r="B121" s="2">
        <v>45502</v>
      </c>
      <c r="C121" t="s">
        <v>320</v>
      </c>
      <c r="D121" s="14" t="s">
        <v>439</v>
      </c>
      <c r="E121" s="5" t="s">
        <v>399</v>
      </c>
      <c r="F121" t="s">
        <v>444</v>
      </c>
      <c r="G121" s="5" t="s">
        <v>416</v>
      </c>
      <c r="H121" s="7">
        <v>100</v>
      </c>
      <c r="I121" s="7" t="str">
        <f t="shared" si="3"/>
        <v>Big</v>
      </c>
      <c r="J121" s="6">
        <v>50</v>
      </c>
      <c r="K121" s="6">
        <f t="shared" si="4"/>
        <v>5000</v>
      </c>
      <c r="L121" s="6" t="str">
        <f t="shared" si="5"/>
        <v>High-Ticket</v>
      </c>
      <c r="M121" s="5" t="s">
        <v>424</v>
      </c>
      <c r="N121" s="5" t="s">
        <v>428</v>
      </c>
    </row>
    <row r="122" spans="1:14" x14ac:dyDescent="0.25">
      <c r="A122" t="s">
        <v>133</v>
      </c>
      <c r="B122" s="2">
        <v>45770</v>
      </c>
      <c r="C122" t="s">
        <v>321</v>
      </c>
      <c r="D122" s="14" t="s">
        <v>439</v>
      </c>
      <c r="E122" s="5" t="s">
        <v>399</v>
      </c>
      <c r="F122" t="s">
        <v>445</v>
      </c>
      <c r="G122" s="5" t="s">
        <v>419</v>
      </c>
      <c r="H122" s="7">
        <v>100</v>
      </c>
      <c r="I122" s="7" t="str">
        <f t="shared" si="3"/>
        <v>Big</v>
      </c>
      <c r="J122" s="6">
        <v>100</v>
      </c>
      <c r="K122" s="6">
        <f t="shared" si="4"/>
        <v>10000</v>
      </c>
      <c r="L122" s="6" t="str">
        <f t="shared" si="5"/>
        <v>High-Ticket</v>
      </c>
      <c r="M122" s="5" t="s">
        <v>425</v>
      </c>
      <c r="N122" s="5" t="s">
        <v>428</v>
      </c>
    </row>
    <row r="123" spans="1:14" x14ac:dyDescent="0.25">
      <c r="A123" t="s">
        <v>134</v>
      </c>
      <c r="B123" s="2">
        <v>45551</v>
      </c>
      <c r="C123" t="s">
        <v>322</v>
      </c>
      <c r="D123" s="14" t="s">
        <v>440</v>
      </c>
      <c r="E123" s="5" t="s">
        <v>402</v>
      </c>
      <c r="F123" t="s">
        <v>442</v>
      </c>
      <c r="G123" s="5" t="s">
        <v>417</v>
      </c>
      <c r="H123" s="7">
        <v>100</v>
      </c>
      <c r="I123" s="7" t="str">
        <f t="shared" si="3"/>
        <v>Big</v>
      </c>
      <c r="J123" s="6">
        <v>50</v>
      </c>
      <c r="K123" s="6">
        <f t="shared" si="4"/>
        <v>5000</v>
      </c>
      <c r="L123" s="6" t="str">
        <f t="shared" si="5"/>
        <v>High-Ticket</v>
      </c>
      <c r="M123" s="5" t="s">
        <v>426</v>
      </c>
      <c r="N123" s="5" t="s">
        <v>429</v>
      </c>
    </row>
    <row r="124" spans="1:14" x14ac:dyDescent="0.25">
      <c r="A124" t="s">
        <v>135</v>
      </c>
      <c r="B124" s="2">
        <v>45581</v>
      </c>
      <c r="C124" t="s">
        <v>238</v>
      </c>
      <c r="D124" s="14" t="s">
        <v>440</v>
      </c>
      <c r="E124" s="5" t="s">
        <v>406</v>
      </c>
      <c r="F124" t="s">
        <v>442</v>
      </c>
      <c r="G124" s="5" t="s">
        <v>418</v>
      </c>
      <c r="H124" s="7">
        <f>21</f>
        <v>21</v>
      </c>
      <c r="I124" s="7" t="str">
        <f t="shared" si="3"/>
        <v>Normal</v>
      </c>
      <c r="J124" s="6">
        <v>100</v>
      </c>
      <c r="K124" s="6">
        <f t="shared" si="4"/>
        <v>2100</v>
      </c>
      <c r="L124" s="6" t="str">
        <f t="shared" si="5"/>
        <v>Normal-Ticket</v>
      </c>
      <c r="M124" s="5" t="s">
        <v>425</v>
      </c>
      <c r="N124" s="5" t="s">
        <v>430</v>
      </c>
    </row>
    <row r="125" spans="1:14" x14ac:dyDescent="0.25">
      <c r="A125" t="s">
        <v>136</v>
      </c>
      <c r="B125" s="2">
        <v>45640</v>
      </c>
      <c r="C125" t="s">
        <v>323</v>
      </c>
      <c r="D125" s="14" t="s">
        <v>439</v>
      </c>
      <c r="E125" s="5" t="s">
        <v>408</v>
      </c>
      <c r="F125" t="s">
        <v>446</v>
      </c>
      <c r="G125" s="5" t="s">
        <v>420</v>
      </c>
      <c r="H125" s="7">
        <v>100</v>
      </c>
      <c r="I125" s="7" t="str">
        <f t="shared" si="3"/>
        <v>Big</v>
      </c>
      <c r="J125" s="6">
        <v>80</v>
      </c>
      <c r="K125" s="6">
        <f t="shared" si="4"/>
        <v>8000</v>
      </c>
      <c r="L125" s="6" t="str">
        <f t="shared" si="5"/>
        <v>High-Ticket</v>
      </c>
      <c r="M125" s="5" t="s">
        <v>424</v>
      </c>
      <c r="N125" s="5" t="s">
        <v>430</v>
      </c>
    </row>
    <row r="126" spans="1:14" x14ac:dyDescent="0.25">
      <c r="A126" t="s">
        <v>137</v>
      </c>
      <c r="B126" s="2">
        <v>45470</v>
      </c>
      <c r="C126" t="s">
        <v>324</v>
      </c>
      <c r="D126" s="14" t="s">
        <v>441</v>
      </c>
      <c r="E126" s="5" t="s">
        <v>404</v>
      </c>
      <c r="F126" t="s">
        <v>445</v>
      </c>
      <c r="G126" s="5" t="s">
        <v>416</v>
      </c>
      <c r="H126" s="7">
        <v>5</v>
      </c>
      <c r="I126" s="7" t="str">
        <f t="shared" si="3"/>
        <v>Small</v>
      </c>
      <c r="J126" s="6">
        <v>80</v>
      </c>
      <c r="K126" s="6">
        <f t="shared" si="4"/>
        <v>400</v>
      </c>
      <c r="L126" s="6" t="str">
        <f t="shared" si="5"/>
        <v>Low-Ticket</v>
      </c>
      <c r="M126" s="5" t="s">
        <v>424</v>
      </c>
      <c r="N126" s="5" t="s">
        <v>430</v>
      </c>
    </row>
    <row r="127" spans="1:14" x14ac:dyDescent="0.25">
      <c r="A127" t="s">
        <v>138</v>
      </c>
      <c r="B127" s="2">
        <v>45732</v>
      </c>
      <c r="C127" t="s">
        <v>325</v>
      </c>
      <c r="D127" s="14" t="s">
        <v>439</v>
      </c>
      <c r="E127" s="5" t="s">
        <v>399</v>
      </c>
      <c r="F127" t="s">
        <v>445</v>
      </c>
      <c r="G127" s="5" t="s">
        <v>416</v>
      </c>
      <c r="H127" s="7">
        <v>3</v>
      </c>
      <c r="I127" s="7" t="str">
        <f t="shared" si="3"/>
        <v>Small</v>
      </c>
      <c r="J127" s="6">
        <v>75.5</v>
      </c>
      <c r="K127" s="6">
        <f t="shared" si="4"/>
        <v>226.5</v>
      </c>
      <c r="L127" s="6" t="str">
        <f t="shared" si="5"/>
        <v>Low-Ticket</v>
      </c>
      <c r="M127" s="5" t="s">
        <v>426</v>
      </c>
      <c r="N127" s="5" t="s">
        <v>430</v>
      </c>
    </row>
    <row r="128" spans="1:14" x14ac:dyDescent="0.25">
      <c r="A128" t="s">
        <v>139</v>
      </c>
      <c r="B128" s="2">
        <v>45622</v>
      </c>
      <c r="C128" t="s">
        <v>326</v>
      </c>
      <c r="D128" s="14" t="s">
        <v>437</v>
      </c>
      <c r="E128" s="5" t="s">
        <v>396</v>
      </c>
      <c r="F128" t="s">
        <v>442</v>
      </c>
      <c r="G128" s="5" t="s">
        <v>418</v>
      </c>
      <c r="H128" s="7">
        <v>2</v>
      </c>
      <c r="I128" s="7" t="str">
        <f t="shared" si="3"/>
        <v>Small</v>
      </c>
      <c r="J128" s="6">
        <v>80</v>
      </c>
      <c r="K128" s="6">
        <f t="shared" si="4"/>
        <v>160</v>
      </c>
      <c r="L128" s="6" t="str">
        <f t="shared" si="5"/>
        <v>Low-Ticket</v>
      </c>
      <c r="M128" s="5" t="s">
        <v>425</v>
      </c>
      <c r="N128" s="5" t="s">
        <v>430</v>
      </c>
    </row>
    <row r="129" spans="1:14" x14ac:dyDescent="0.25">
      <c r="A129" t="s">
        <v>140</v>
      </c>
      <c r="B129" s="2">
        <v>45515</v>
      </c>
      <c r="C129" t="s">
        <v>327</v>
      </c>
      <c r="D129" s="14" t="s">
        <v>439</v>
      </c>
      <c r="E129" s="5" t="s">
        <v>400</v>
      </c>
      <c r="F129" t="s">
        <v>444</v>
      </c>
      <c r="G129" s="5" t="s">
        <v>417</v>
      </c>
      <c r="H129" s="7">
        <v>1</v>
      </c>
      <c r="I129" s="7" t="str">
        <f t="shared" si="3"/>
        <v>Small</v>
      </c>
      <c r="J129" s="6">
        <v>80</v>
      </c>
      <c r="K129" s="6">
        <f t="shared" si="4"/>
        <v>80</v>
      </c>
      <c r="L129" s="6" t="str">
        <f t="shared" si="5"/>
        <v>Low-Ticket</v>
      </c>
      <c r="M129" s="5" t="s">
        <v>424</v>
      </c>
      <c r="N129" s="5" t="s">
        <v>429</v>
      </c>
    </row>
    <row r="130" spans="1:14" x14ac:dyDescent="0.25">
      <c r="A130" t="s">
        <v>141</v>
      </c>
      <c r="B130" s="2">
        <v>45466</v>
      </c>
      <c r="C130" t="s">
        <v>328</v>
      </c>
      <c r="D130" s="14" t="s">
        <v>441</v>
      </c>
      <c r="E130" s="5" t="s">
        <v>410</v>
      </c>
      <c r="F130" t="s">
        <v>444</v>
      </c>
      <c r="G130" s="5" t="s">
        <v>417</v>
      </c>
      <c r="H130" s="7">
        <v>2</v>
      </c>
      <c r="I130" s="7" t="str">
        <f t="shared" si="3"/>
        <v>Small</v>
      </c>
      <c r="J130" s="6">
        <v>80</v>
      </c>
      <c r="K130" s="6">
        <f t="shared" si="4"/>
        <v>160</v>
      </c>
      <c r="L130" s="6" t="str">
        <f t="shared" si="5"/>
        <v>Low-Ticket</v>
      </c>
      <c r="M130" s="5" t="s">
        <v>424</v>
      </c>
      <c r="N130" s="5" t="s">
        <v>430</v>
      </c>
    </row>
    <row r="131" spans="1:14" x14ac:dyDescent="0.25">
      <c r="A131" t="s">
        <v>142</v>
      </c>
      <c r="B131" s="2">
        <v>45536</v>
      </c>
      <c r="C131" t="s">
        <v>329</v>
      </c>
      <c r="D131" s="14" t="s">
        <v>438</v>
      </c>
      <c r="E131" s="5" t="s">
        <v>403</v>
      </c>
      <c r="F131" t="s">
        <v>445</v>
      </c>
      <c r="G131" s="5" t="s">
        <v>418</v>
      </c>
      <c r="H131" s="7">
        <f>21</f>
        <v>21</v>
      </c>
      <c r="I131" s="7" t="str">
        <f t="shared" ref="I131:I186" si="6">IF(H131&lt;=5,"Small",IF(H131&lt;=50,"Normal","Big"))</f>
        <v>Normal</v>
      </c>
      <c r="J131" s="6">
        <v>50</v>
      </c>
      <c r="K131" s="6">
        <f t="shared" ref="K131:K194" si="7">(H131*J131)</f>
        <v>1050</v>
      </c>
      <c r="L131" s="6" t="str">
        <f t="shared" ref="L131:L187" si="8">IF(K131&lt;=500,"Low-Ticket",IF(K131&lt;=2500,"Normal-Ticket","High-Ticket"))</f>
        <v>Normal-Ticket</v>
      </c>
      <c r="M131" s="5" t="s">
        <v>424</v>
      </c>
      <c r="N131" s="5" t="s">
        <v>428</v>
      </c>
    </row>
    <row r="132" spans="1:14" x14ac:dyDescent="0.25">
      <c r="A132" t="s">
        <v>143</v>
      </c>
      <c r="B132" s="2">
        <v>45658</v>
      </c>
      <c r="C132" t="s">
        <v>330</v>
      </c>
      <c r="D132" s="14" t="s">
        <v>438</v>
      </c>
      <c r="E132" s="5" t="s">
        <v>403</v>
      </c>
      <c r="F132" t="s">
        <v>445</v>
      </c>
      <c r="G132" s="5" t="s">
        <v>418</v>
      </c>
      <c r="H132" s="7">
        <v>2</v>
      </c>
      <c r="I132" s="7" t="str">
        <f t="shared" si="6"/>
        <v>Small</v>
      </c>
      <c r="J132" s="6">
        <v>80</v>
      </c>
      <c r="K132" s="6">
        <f t="shared" si="7"/>
        <v>160</v>
      </c>
      <c r="L132" s="6" t="str">
        <f t="shared" si="8"/>
        <v>Low-Ticket</v>
      </c>
      <c r="M132" s="5" t="s">
        <v>424</v>
      </c>
      <c r="N132" s="5" t="s">
        <v>430</v>
      </c>
    </row>
    <row r="133" spans="1:14" x14ac:dyDescent="0.25">
      <c r="A133" t="s">
        <v>144</v>
      </c>
      <c r="B133" s="2">
        <v>45743</v>
      </c>
      <c r="C133" t="s">
        <v>331</v>
      </c>
      <c r="D133" s="14" t="s">
        <v>439</v>
      </c>
      <c r="E133" s="5" t="s">
        <v>400</v>
      </c>
      <c r="F133" t="s">
        <v>444</v>
      </c>
      <c r="G133" s="5" t="s">
        <v>417</v>
      </c>
      <c r="H133" s="7">
        <v>1</v>
      </c>
      <c r="I133" s="7" t="str">
        <f t="shared" si="6"/>
        <v>Small</v>
      </c>
      <c r="J133" s="6">
        <v>75.5</v>
      </c>
      <c r="K133" s="6">
        <f t="shared" si="7"/>
        <v>75.5</v>
      </c>
      <c r="L133" s="6" t="str">
        <f t="shared" si="8"/>
        <v>Low-Ticket</v>
      </c>
      <c r="M133" s="5" t="s">
        <v>425</v>
      </c>
      <c r="N133" s="5" t="s">
        <v>429</v>
      </c>
    </row>
    <row r="134" spans="1:14" x14ac:dyDescent="0.25">
      <c r="A134" t="s">
        <v>146</v>
      </c>
      <c r="B134" s="2">
        <v>45772</v>
      </c>
      <c r="C134" t="s">
        <v>332</v>
      </c>
      <c r="D134" s="14" t="s">
        <v>440</v>
      </c>
      <c r="E134" s="5" t="s">
        <v>406</v>
      </c>
      <c r="F134" t="s">
        <v>443</v>
      </c>
      <c r="G134" s="5" t="s">
        <v>417</v>
      </c>
      <c r="H134" s="7">
        <v>5</v>
      </c>
      <c r="I134" s="7" t="str">
        <f t="shared" si="6"/>
        <v>Small</v>
      </c>
      <c r="J134" s="6">
        <v>100</v>
      </c>
      <c r="K134" s="6">
        <f t="shared" si="7"/>
        <v>500</v>
      </c>
      <c r="L134" s="6" t="str">
        <f t="shared" si="8"/>
        <v>Low-Ticket</v>
      </c>
      <c r="M134" s="5" t="s">
        <v>425</v>
      </c>
      <c r="N134" s="5" t="s">
        <v>430</v>
      </c>
    </row>
    <row r="135" spans="1:14" x14ac:dyDescent="0.25">
      <c r="A135" t="s">
        <v>147</v>
      </c>
      <c r="B135" s="2">
        <v>45797</v>
      </c>
      <c r="C135" t="s">
        <v>333</v>
      </c>
      <c r="D135" s="14" t="s">
        <v>440</v>
      </c>
      <c r="E135" s="5" t="s">
        <v>406</v>
      </c>
      <c r="F135" t="s">
        <v>446</v>
      </c>
      <c r="G135" s="5" t="s">
        <v>416</v>
      </c>
      <c r="H135" s="7">
        <v>2</v>
      </c>
      <c r="I135" s="7" t="str">
        <f t="shared" si="6"/>
        <v>Small</v>
      </c>
      <c r="J135" s="6">
        <v>50</v>
      </c>
      <c r="K135" s="6">
        <f t="shared" si="7"/>
        <v>100</v>
      </c>
      <c r="L135" s="6" t="str">
        <f t="shared" si="8"/>
        <v>Low-Ticket</v>
      </c>
      <c r="M135" s="5" t="s">
        <v>424</v>
      </c>
      <c r="N135" s="5" t="s">
        <v>428</v>
      </c>
    </row>
    <row r="136" spans="1:14" x14ac:dyDescent="0.25">
      <c r="A136" t="s">
        <v>148</v>
      </c>
      <c r="B136" s="2">
        <v>45511</v>
      </c>
      <c r="C136" t="s">
        <v>334</v>
      </c>
      <c r="D136" s="14" t="s">
        <v>441</v>
      </c>
      <c r="E136" s="5" t="s">
        <v>405</v>
      </c>
      <c r="F136" t="s">
        <v>442</v>
      </c>
      <c r="G136" s="5" t="s">
        <v>417</v>
      </c>
      <c r="H136" s="7">
        <v>5</v>
      </c>
      <c r="I136" s="7" t="str">
        <f t="shared" si="6"/>
        <v>Small</v>
      </c>
      <c r="J136" s="6">
        <v>100</v>
      </c>
      <c r="K136" s="6">
        <f t="shared" si="7"/>
        <v>500</v>
      </c>
      <c r="L136" s="6" t="str">
        <f t="shared" si="8"/>
        <v>Low-Ticket</v>
      </c>
      <c r="M136" s="5" t="s">
        <v>424</v>
      </c>
      <c r="N136" s="5" t="s">
        <v>429</v>
      </c>
    </row>
    <row r="137" spans="1:14" x14ac:dyDescent="0.25">
      <c r="A137" t="s">
        <v>149</v>
      </c>
      <c r="B137" s="2">
        <v>45658</v>
      </c>
      <c r="C137" t="s">
        <v>335</v>
      </c>
      <c r="D137" s="14" t="s">
        <v>437</v>
      </c>
      <c r="E137" s="5" t="s">
        <v>396</v>
      </c>
      <c r="F137" t="s">
        <v>442</v>
      </c>
      <c r="G137" s="5" t="s">
        <v>418</v>
      </c>
      <c r="H137" s="7">
        <v>3</v>
      </c>
      <c r="I137" s="7" t="str">
        <f t="shared" si="6"/>
        <v>Small</v>
      </c>
      <c r="J137" s="6">
        <v>80</v>
      </c>
      <c r="K137" s="6">
        <f t="shared" si="7"/>
        <v>240</v>
      </c>
      <c r="L137" s="6" t="str">
        <f t="shared" si="8"/>
        <v>Low-Ticket</v>
      </c>
      <c r="M137" s="5" t="s">
        <v>424</v>
      </c>
      <c r="N137" s="5" t="s">
        <v>428</v>
      </c>
    </row>
    <row r="138" spans="1:14" x14ac:dyDescent="0.25">
      <c r="A138" t="s">
        <v>150</v>
      </c>
      <c r="B138" s="2">
        <v>45469</v>
      </c>
      <c r="C138" t="s">
        <v>336</v>
      </c>
      <c r="D138" s="14" t="s">
        <v>440</v>
      </c>
      <c r="E138" s="5" t="s">
        <v>402</v>
      </c>
      <c r="F138" t="s">
        <v>444</v>
      </c>
      <c r="G138" s="5" t="s">
        <v>419</v>
      </c>
      <c r="H138" s="7">
        <v>100</v>
      </c>
      <c r="I138" s="7" t="str">
        <f t="shared" si="6"/>
        <v>Big</v>
      </c>
      <c r="J138" s="6">
        <v>100</v>
      </c>
      <c r="K138" s="6">
        <f t="shared" si="7"/>
        <v>10000</v>
      </c>
      <c r="L138" s="6" t="str">
        <f t="shared" si="8"/>
        <v>High-Ticket</v>
      </c>
      <c r="M138" s="5" t="s">
        <v>426</v>
      </c>
      <c r="N138" s="5" t="s">
        <v>429</v>
      </c>
    </row>
    <row r="139" spans="1:14" x14ac:dyDescent="0.25">
      <c r="A139" t="s">
        <v>151</v>
      </c>
      <c r="B139" s="2">
        <v>45580</v>
      </c>
      <c r="C139" t="s">
        <v>337</v>
      </c>
      <c r="D139" s="14" t="s">
        <v>437</v>
      </c>
      <c r="E139" s="5" t="s">
        <v>398</v>
      </c>
      <c r="F139" t="s">
        <v>445</v>
      </c>
      <c r="G139" s="5" t="s">
        <v>418</v>
      </c>
      <c r="H139" s="7">
        <v>100</v>
      </c>
      <c r="I139" s="7" t="str">
        <f t="shared" si="6"/>
        <v>Big</v>
      </c>
      <c r="J139" s="6">
        <v>50</v>
      </c>
      <c r="K139" s="6">
        <f t="shared" si="7"/>
        <v>5000</v>
      </c>
      <c r="L139" s="6" t="str">
        <f t="shared" si="8"/>
        <v>High-Ticket</v>
      </c>
      <c r="M139" s="5" t="s">
        <v>424</v>
      </c>
      <c r="N139" s="5" t="s">
        <v>429</v>
      </c>
    </row>
    <row r="140" spans="1:14" x14ac:dyDescent="0.25">
      <c r="A140" t="s">
        <v>152</v>
      </c>
      <c r="B140" s="2">
        <v>45659</v>
      </c>
      <c r="C140" t="s">
        <v>338</v>
      </c>
      <c r="D140" s="14" t="s">
        <v>440</v>
      </c>
      <c r="E140" s="5" t="s">
        <v>401</v>
      </c>
      <c r="F140" t="s">
        <v>444</v>
      </c>
      <c r="G140" s="5" t="s">
        <v>417</v>
      </c>
      <c r="H140" s="7">
        <v>4</v>
      </c>
      <c r="I140" s="7" t="str">
        <f t="shared" si="6"/>
        <v>Small</v>
      </c>
      <c r="J140" s="6">
        <v>80</v>
      </c>
      <c r="K140" s="6">
        <f t="shared" si="7"/>
        <v>320</v>
      </c>
      <c r="L140" s="6" t="str">
        <f t="shared" si="8"/>
        <v>Low-Ticket</v>
      </c>
      <c r="M140" s="5" t="s">
        <v>424</v>
      </c>
      <c r="N140" s="5" t="s">
        <v>430</v>
      </c>
    </row>
    <row r="141" spans="1:14" x14ac:dyDescent="0.25">
      <c r="A141" t="s">
        <v>153</v>
      </c>
      <c r="B141" s="2">
        <v>45746</v>
      </c>
      <c r="C141" t="s">
        <v>331</v>
      </c>
      <c r="D141" s="14" t="s">
        <v>440</v>
      </c>
      <c r="E141" s="5" t="s">
        <v>401</v>
      </c>
      <c r="F141" t="s">
        <v>444</v>
      </c>
      <c r="G141" s="5" t="s">
        <v>419</v>
      </c>
      <c r="H141" s="7">
        <v>5</v>
      </c>
      <c r="I141" s="7" t="str">
        <f t="shared" si="6"/>
        <v>Small</v>
      </c>
      <c r="J141" s="6">
        <v>100</v>
      </c>
      <c r="K141" s="6">
        <f t="shared" si="7"/>
        <v>500</v>
      </c>
      <c r="L141" s="6" t="str">
        <f t="shared" si="8"/>
        <v>Low-Ticket</v>
      </c>
      <c r="M141" s="5" t="s">
        <v>425</v>
      </c>
      <c r="N141" s="5" t="s">
        <v>429</v>
      </c>
    </row>
    <row r="142" spans="1:14" x14ac:dyDescent="0.25">
      <c r="A142" t="s">
        <v>154</v>
      </c>
      <c r="B142" s="2">
        <v>45500</v>
      </c>
      <c r="C142" t="s">
        <v>339</v>
      </c>
      <c r="D142" s="14" t="s">
        <v>441</v>
      </c>
      <c r="E142" s="5" t="s">
        <v>410</v>
      </c>
      <c r="F142" t="s">
        <v>446</v>
      </c>
      <c r="G142" s="5" t="s">
        <v>418</v>
      </c>
      <c r="H142" s="7">
        <v>1</v>
      </c>
      <c r="I142" s="7" t="str">
        <f t="shared" si="6"/>
        <v>Small</v>
      </c>
      <c r="J142" s="6">
        <v>100</v>
      </c>
      <c r="K142" s="6">
        <f t="shared" si="7"/>
        <v>100</v>
      </c>
      <c r="L142" s="6" t="str">
        <f t="shared" si="8"/>
        <v>Low-Ticket</v>
      </c>
      <c r="M142" s="5" t="s">
        <v>424</v>
      </c>
      <c r="N142" s="5" t="s">
        <v>430</v>
      </c>
    </row>
    <row r="143" spans="1:14" x14ac:dyDescent="0.25">
      <c r="A143" t="s">
        <v>155</v>
      </c>
      <c r="B143" s="2">
        <v>45724</v>
      </c>
      <c r="C143" t="s">
        <v>340</v>
      </c>
      <c r="D143" s="14" t="s">
        <v>438</v>
      </c>
      <c r="E143" s="5" t="s">
        <v>407</v>
      </c>
      <c r="F143" t="s">
        <v>444</v>
      </c>
      <c r="G143" s="5" t="s">
        <v>420</v>
      </c>
      <c r="H143" s="7">
        <v>3</v>
      </c>
      <c r="I143" s="7" t="str">
        <f t="shared" si="6"/>
        <v>Small</v>
      </c>
      <c r="J143" s="6">
        <v>80</v>
      </c>
      <c r="K143" s="6">
        <f t="shared" si="7"/>
        <v>240</v>
      </c>
      <c r="L143" s="6" t="str">
        <f t="shared" si="8"/>
        <v>Low-Ticket</v>
      </c>
      <c r="M143" s="5" t="s">
        <v>426</v>
      </c>
      <c r="N143" s="5" t="s">
        <v>432</v>
      </c>
    </row>
    <row r="144" spans="1:14" x14ac:dyDescent="0.25">
      <c r="A144" t="s">
        <v>156</v>
      </c>
      <c r="B144" s="2">
        <v>45630</v>
      </c>
      <c r="C144" t="s">
        <v>341</v>
      </c>
      <c r="D144" s="14" t="s">
        <v>438</v>
      </c>
      <c r="E144" s="5" t="s">
        <v>407</v>
      </c>
      <c r="F144" t="s">
        <v>445</v>
      </c>
      <c r="G144" s="5" t="s">
        <v>420</v>
      </c>
      <c r="H144" s="7">
        <v>5</v>
      </c>
      <c r="I144" s="7" t="str">
        <f t="shared" si="6"/>
        <v>Small</v>
      </c>
      <c r="J144" s="6">
        <v>50</v>
      </c>
      <c r="K144" s="6">
        <f t="shared" si="7"/>
        <v>250</v>
      </c>
      <c r="L144" s="6" t="str">
        <f t="shared" si="8"/>
        <v>Low-Ticket</v>
      </c>
      <c r="M144" s="5" t="s">
        <v>426</v>
      </c>
      <c r="N144" s="5" t="s">
        <v>429</v>
      </c>
    </row>
    <row r="145" spans="1:14" x14ac:dyDescent="0.25">
      <c r="A145" t="s">
        <v>106</v>
      </c>
      <c r="B145" s="2">
        <v>45748</v>
      </c>
      <c r="C145" t="s">
        <v>227</v>
      </c>
      <c r="D145" s="14" t="s">
        <v>440</v>
      </c>
      <c r="E145" s="5" t="s">
        <v>402</v>
      </c>
      <c r="F145" t="s">
        <v>446</v>
      </c>
      <c r="G145" s="5" t="s">
        <v>419</v>
      </c>
      <c r="H145" s="7">
        <v>2</v>
      </c>
      <c r="I145" s="7" t="str">
        <f t="shared" si="6"/>
        <v>Small</v>
      </c>
      <c r="J145" s="6">
        <v>75.5</v>
      </c>
      <c r="K145" s="6">
        <f t="shared" si="7"/>
        <v>151</v>
      </c>
      <c r="L145" s="6" t="str">
        <f t="shared" si="8"/>
        <v>Low-Ticket</v>
      </c>
      <c r="M145" s="5" t="s">
        <v>425</v>
      </c>
      <c r="N145" s="5" t="s">
        <v>430</v>
      </c>
    </row>
    <row r="146" spans="1:14" x14ac:dyDescent="0.25">
      <c r="A146" t="s">
        <v>31</v>
      </c>
      <c r="B146" s="2">
        <v>45689</v>
      </c>
      <c r="C146" t="s">
        <v>228</v>
      </c>
      <c r="D146" s="14" t="s">
        <v>437</v>
      </c>
      <c r="E146" s="5" t="s">
        <v>395</v>
      </c>
      <c r="F146" t="s">
        <v>445</v>
      </c>
      <c r="G146" s="5" t="s">
        <v>418</v>
      </c>
      <c r="H146" s="7">
        <v>4</v>
      </c>
      <c r="I146" s="7" t="str">
        <f t="shared" si="6"/>
        <v>Small</v>
      </c>
      <c r="J146" s="6">
        <v>75.5</v>
      </c>
      <c r="K146" s="6">
        <f t="shared" si="7"/>
        <v>302</v>
      </c>
      <c r="L146" s="6" t="str">
        <f t="shared" si="8"/>
        <v>Low-Ticket</v>
      </c>
      <c r="M146" s="5" t="s">
        <v>424</v>
      </c>
      <c r="N146" s="5" t="s">
        <v>430</v>
      </c>
    </row>
    <row r="147" spans="1:14" x14ac:dyDescent="0.25">
      <c r="A147" t="s">
        <v>157</v>
      </c>
      <c r="B147" s="2">
        <v>45482</v>
      </c>
      <c r="C147" t="s">
        <v>342</v>
      </c>
      <c r="D147" s="14" t="s">
        <v>441</v>
      </c>
      <c r="E147" s="5" t="s">
        <v>409</v>
      </c>
      <c r="F147" t="s">
        <v>444</v>
      </c>
      <c r="G147" s="5" t="s">
        <v>420</v>
      </c>
      <c r="H147" s="7">
        <v>4</v>
      </c>
      <c r="I147" s="7" t="str">
        <f t="shared" si="6"/>
        <v>Small</v>
      </c>
      <c r="J147" s="6">
        <v>75.5</v>
      </c>
      <c r="K147" s="6">
        <f t="shared" si="7"/>
        <v>302</v>
      </c>
      <c r="L147" s="6" t="str">
        <f t="shared" si="8"/>
        <v>Low-Ticket</v>
      </c>
      <c r="M147" s="5" t="s">
        <v>424</v>
      </c>
      <c r="N147" s="5" t="s">
        <v>428</v>
      </c>
    </row>
    <row r="148" spans="1:14" x14ac:dyDescent="0.25">
      <c r="A148" t="s">
        <v>158</v>
      </c>
      <c r="B148" s="2">
        <v>45621</v>
      </c>
      <c r="C148" t="s">
        <v>343</v>
      </c>
      <c r="D148" s="14" t="s">
        <v>438</v>
      </c>
      <c r="E148" s="5" t="s">
        <v>407</v>
      </c>
      <c r="F148" t="s">
        <v>444</v>
      </c>
      <c r="G148" s="5" t="s">
        <v>417</v>
      </c>
      <c r="H148" s="7">
        <v>100</v>
      </c>
      <c r="I148" s="7" t="str">
        <f t="shared" si="6"/>
        <v>Big</v>
      </c>
      <c r="J148" s="6">
        <v>50</v>
      </c>
      <c r="K148" s="6">
        <f t="shared" si="7"/>
        <v>5000</v>
      </c>
      <c r="L148" s="6" t="str">
        <f t="shared" si="8"/>
        <v>High-Ticket</v>
      </c>
      <c r="M148" s="5" t="s">
        <v>425</v>
      </c>
      <c r="N148" s="5" t="s">
        <v>429</v>
      </c>
    </row>
    <row r="149" spans="1:14" x14ac:dyDescent="0.25">
      <c r="A149" t="s">
        <v>159</v>
      </c>
      <c r="B149" s="2">
        <v>45551</v>
      </c>
      <c r="C149" t="s">
        <v>344</v>
      </c>
      <c r="D149" s="14" t="s">
        <v>438</v>
      </c>
      <c r="E149" s="5" t="s">
        <v>403</v>
      </c>
      <c r="F149" t="s">
        <v>442</v>
      </c>
      <c r="G149" s="5" t="s">
        <v>420</v>
      </c>
      <c r="H149" s="7">
        <v>100</v>
      </c>
      <c r="I149" s="7" t="str">
        <f t="shared" si="6"/>
        <v>Big</v>
      </c>
      <c r="J149" s="6">
        <v>100</v>
      </c>
      <c r="K149" s="6">
        <f t="shared" si="7"/>
        <v>10000</v>
      </c>
      <c r="L149" s="6" t="str">
        <f t="shared" si="8"/>
        <v>High-Ticket</v>
      </c>
      <c r="M149" s="5" t="s">
        <v>424</v>
      </c>
      <c r="N149" s="5" t="s">
        <v>429</v>
      </c>
    </row>
    <row r="150" spans="1:14" x14ac:dyDescent="0.25">
      <c r="A150" t="s">
        <v>160</v>
      </c>
      <c r="B150" s="2">
        <v>45454</v>
      </c>
      <c r="C150" t="s">
        <v>345</v>
      </c>
      <c r="D150" s="14" t="s">
        <v>439</v>
      </c>
      <c r="E150" s="5" t="s">
        <v>408</v>
      </c>
      <c r="F150" t="s">
        <v>444</v>
      </c>
      <c r="G150" s="5" t="s">
        <v>416</v>
      </c>
      <c r="H150" s="7">
        <v>1</v>
      </c>
      <c r="I150" s="7" t="str">
        <f t="shared" si="6"/>
        <v>Small</v>
      </c>
      <c r="J150" s="6">
        <v>100</v>
      </c>
      <c r="K150" s="6">
        <f t="shared" si="7"/>
        <v>100</v>
      </c>
      <c r="L150" s="6" t="str">
        <f t="shared" si="8"/>
        <v>Low-Ticket</v>
      </c>
      <c r="M150" s="5" t="s">
        <v>424</v>
      </c>
      <c r="N150" s="5" t="s">
        <v>431</v>
      </c>
    </row>
    <row r="151" spans="1:14" x14ac:dyDescent="0.25">
      <c r="A151" t="s">
        <v>161</v>
      </c>
      <c r="B151" s="2">
        <v>45764</v>
      </c>
      <c r="C151" t="s">
        <v>346</v>
      </c>
      <c r="D151" s="14" t="s">
        <v>437</v>
      </c>
      <c r="E151" s="5" t="s">
        <v>395</v>
      </c>
      <c r="F151" t="s">
        <v>444</v>
      </c>
      <c r="G151" s="5" t="s">
        <v>418</v>
      </c>
      <c r="H151" s="7">
        <v>4</v>
      </c>
      <c r="I151" s="7" t="str">
        <f t="shared" si="6"/>
        <v>Small</v>
      </c>
      <c r="J151" s="6">
        <v>100</v>
      </c>
      <c r="K151" s="6">
        <f t="shared" si="7"/>
        <v>400</v>
      </c>
      <c r="L151" s="6" t="str">
        <f t="shared" si="8"/>
        <v>Low-Ticket</v>
      </c>
      <c r="M151" s="5" t="s">
        <v>424</v>
      </c>
      <c r="N151" s="5" t="s">
        <v>429</v>
      </c>
    </row>
    <row r="152" spans="1:14" x14ac:dyDescent="0.25">
      <c r="A152" t="s">
        <v>108</v>
      </c>
      <c r="B152" s="2">
        <v>45612</v>
      </c>
      <c r="C152" t="s">
        <v>221</v>
      </c>
      <c r="D152" s="14" t="s">
        <v>441</v>
      </c>
      <c r="E152" s="5" t="s">
        <v>409</v>
      </c>
      <c r="F152" t="s">
        <v>446</v>
      </c>
      <c r="G152" s="5" t="s">
        <v>416</v>
      </c>
      <c r="H152" s="7">
        <v>100</v>
      </c>
      <c r="I152" s="7" t="str">
        <f t="shared" si="6"/>
        <v>Big</v>
      </c>
      <c r="J152" s="6">
        <v>75.5</v>
      </c>
      <c r="K152" s="6">
        <f t="shared" si="7"/>
        <v>7550</v>
      </c>
      <c r="L152" s="6" t="str">
        <f t="shared" si="8"/>
        <v>High-Ticket</v>
      </c>
      <c r="M152" s="5" t="s">
        <v>424</v>
      </c>
      <c r="N152" s="5" t="s">
        <v>431</v>
      </c>
    </row>
    <row r="153" spans="1:14" x14ac:dyDescent="0.25">
      <c r="A153" t="s">
        <v>162</v>
      </c>
      <c r="B153" s="2">
        <v>45701</v>
      </c>
      <c r="C153" t="s">
        <v>347</v>
      </c>
      <c r="D153" s="14" t="s">
        <v>437</v>
      </c>
      <c r="E153" s="5" t="s">
        <v>398</v>
      </c>
      <c r="F153" t="s">
        <v>444</v>
      </c>
      <c r="G153" s="5" t="s">
        <v>419</v>
      </c>
      <c r="H153" s="7">
        <v>100</v>
      </c>
      <c r="I153" s="7" t="str">
        <f t="shared" si="6"/>
        <v>Big</v>
      </c>
      <c r="J153" s="6">
        <v>100</v>
      </c>
      <c r="K153" s="6">
        <f t="shared" si="7"/>
        <v>10000</v>
      </c>
      <c r="L153" s="6" t="str">
        <f t="shared" si="8"/>
        <v>High-Ticket</v>
      </c>
      <c r="M153" s="5" t="s">
        <v>425</v>
      </c>
      <c r="N153" s="5" t="s">
        <v>430</v>
      </c>
    </row>
    <row r="154" spans="1:14" x14ac:dyDescent="0.25">
      <c r="A154" t="s">
        <v>163</v>
      </c>
      <c r="B154" s="2">
        <v>45781</v>
      </c>
      <c r="C154" t="s">
        <v>348</v>
      </c>
      <c r="D154" s="14" t="s">
        <v>440</v>
      </c>
      <c r="E154" s="5" t="s">
        <v>402</v>
      </c>
      <c r="F154" t="s">
        <v>445</v>
      </c>
      <c r="G154" s="5" t="s">
        <v>419</v>
      </c>
      <c r="H154" s="7">
        <v>100</v>
      </c>
      <c r="I154" s="7" t="str">
        <f t="shared" si="6"/>
        <v>Big</v>
      </c>
      <c r="J154" s="6">
        <v>50</v>
      </c>
      <c r="K154" s="6">
        <f t="shared" si="7"/>
        <v>5000</v>
      </c>
      <c r="L154" s="6" t="str">
        <f t="shared" si="8"/>
        <v>High-Ticket</v>
      </c>
      <c r="M154" s="5" t="s">
        <v>424</v>
      </c>
      <c r="N154" s="5" t="s">
        <v>428</v>
      </c>
    </row>
    <row r="155" spans="1:14" x14ac:dyDescent="0.25">
      <c r="A155" t="s">
        <v>164</v>
      </c>
      <c r="B155" s="2">
        <v>45796</v>
      </c>
      <c r="C155" t="s">
        <v>349</v>
      </c>
      <c r="D155" s="14" t="s">
        <v>439</v>
      </c>
      <c r="E155" s="5" t="s">
        <v>408</v>
      </c>
      <c r="F155" t="s">
        <v>443</v>
      </c>
      <c r="G155" s="5" t="s">
        <v>419</v>
      </c>
      <c r="H155" s="7">
        <v>1</v>
      </c>
      <c r="I155" s="7" t="str">
        <f t="shared" si="6"/>
        <v>Small</v>
      </c>
      <c r="J155" s="6">
        <v>80</v>
      </c>
      <c r="K155" s="6">
        <f t="shared" si="7"/>
        <v>80</v>
      </c>
      <c r="L155" s="6" t="str">
        <f t="shared" si="8"/>
        <v>Low-Ticket</v>
      </c>
      <c r="M155" s="5" t="s">
        <v>425</v>
      </c>
      <c r="N155" s="5" t="s">
        <v>429</v>
      </c>
    </row>
    <row r="156" spans="1:14" x14ac:dyDescent="0.25">
      <c r="A156" t="s">
        <v>165</v>
      </c>
      <c r="B156" s="2">
        <v>45483</v>
      </c>
      <c r="C156" t="s">
        <v>350</v>
      </c>
      <c r="D156" s="14" t="s">
        <v>441</v>
      </c>
      <c r="E156" s="5" t="s">
        <v>410</v>
      </c>
      <c r="F156" t="s">
        <v>442</v>
      </c>
      <c r="G156" s="5" t="s">
        <v>418</v>
      </c>
      <c r="H156" s="7">
        <v>100</v>
      </c>
      <c r="I156" s="7" t="str">
        <f t="shared" si="6"/>
        <v>Big</v>
      </c>
      <c r="J156" s="6">
        <v>50</v>
      </c>
      <c r="K156" s="6">
        <f t="shared" si="7"/>
        <v>5000</v>
      </c>
      <c r="L156" s="6" t="str">
        <f t="shared" si="8"/>
        <v>High-Ticket</v>
      </c>
      <c r="M156" s="5" t="s">
        <v>424</v>
      </c>
      <c r="N156" s="5" t="s">
        <v>428</v>
      </c>
    </row>
    <row r="157" spans="1:14" x14ac:dyDescent="0.25">
      <c r="A157" t="s">
        <v>166</v>
      </c>
      <c r="B157" s="2">
        <v>45662</v>
      </c>
      <c r="C157" t="s">
        <v>351</v>
      </c>
      <c r="D157" s="14" t="s">
        <v>438</v>
      </c>
      <c r="E157" s="5" t="s">
        <v>403</v>
      </c>
      <c r="F157" t="s">
        <v>444</v>
      </c>
      <c r="G157" s="5" t="s">
        <v>420</v>
      </c>
      <c r="H157" s="7">
        <v>5</v>
      </c>
      <c r="I157" s="7" t="str">
        <f t="shared" si="6"/>
        <v>Small</v>
      </c>
      <c r="J157" s="6">
        <v>50</v>
      </c>
      <c r="K157" s="6">
        <f t="shared" si="7"/>
        <v>250</v>
      </c>
      <c r="L157" s="6" t="str">
        <f t="shared" si="8"/>
        <v>Low-Ticket</v>
      </c>
      <c r="M157" s="5" t="s">
        <v>424</v>
      </c>
      <c r="N157" s="5" t="s">
        <v>430</v>
      </c>
    </row>
    <row r="158" spans="1:14" x14ac:dyDescent="0.25">
      <c r="A158" t="s">
        <v>167</v>
      </c>
      <c r="B158" s="2">
        <v>45505</v>
      </c>
      <c r="C158" t="s">
        <v>352</v>
      </c>
      <c r="D158" s="14" t="s">
        <v>437</v>
      </c>
      <c r="E158" s="5" t="s">
        <v>395</v>
      </c>
      <c r="F158" t="s">
        <v>445</v>
      </c>
      <c r="G158" s="5" t="s">
        <v>417</v>
      </c>
      <c r="H158" s="7">
        <v>5</v>
      </c>
      <c r="I158" s="7" t="str">
        <f t="shared" si="6"/>
        <v>Small</v>
      </c>
      <c r="J158" s="6">
        <v>75.5</v>
      </c>
      <c r="K158" s="6">
        <f t="shared" si="7"/>
        <v>377.5</v>
      </c>
      <c r="L158" s="6" t="str">
        <f t="shared" si="8"/>
        <v>Low-Ticket</v>
      </c>
      <c r="M158" s="5" t="s">
        <v>426</v>
      </c>
      <c r="N158" s="5" t="s">
        <v>428</v>
      </c>
    </row>
    <row r="159" spans="1:14" x14ac:dyDescent="0.25">
      <c r="A159" t="s">
        <v>168</v>
      </c>
      <c r="B159" s="2">
        <v>45693</v>
      </c>
      <c r="C159" t="s">
        <v>353</v>
      </c>
      <c r="D159" s="14" t="s">
        <v>441</v>
      </c>
      <c r="E159" s="5" t="s">
        <v>404</v>
      </c>
      <c r="F159" t="s">
        <v>442</v>
      </c>
      <c r="G159" s="5" t="s">
        <v>416</v>
      </c>
      <c r="H159" s="7">
        <v>2</v>
      </c>
      <c r="I159" s="7" t="str">
        <f t="shared" si="6"/>
        <v>Small</v>
      </c>
      <c r="J159" s="6">
        <v>75.5</v>
      </c>
      <c r="K159" s="6">
        <f t="shared" si="7"/>
        <v>151</v>
      </c>
      <c r="L159" s="6" t="str">
        <f t="shared" si="8"/>
        <v>Low-Ticket</v>
      </c>
      <c r="M159" s="5" t="s">
        <v>426</v>
      </c>
      <c r="N159" s="5" t="s">
        <v>429</v>
      </c>
    </row>
    <row r="160" spans="1:14" x14ac:dyDescent="0.25">
      <c r="A160" t="s">
        <v>169</v>
      </c>
      <c r="B160" s="2">
        <v>45473</v>
      </c>
      <c r="C160" t="s">
        <v>354</v>
      </c>
      <c r="D160" s="14" t="s">
        <v>440</v>
      </c>
      <c r="E160" s="5" t="s">
        <v>406</v>
      </c>
      <c r="F160" t="s">
        <v>443</v>
      </c>
      <c r="G160" s="5" t="s">
        <v>417</v>
      </c>
      <c r="H160" s="7">
        <v>2</v>
      </c>
      <c r="I160" s="7" t="str">
        <f t="shared" si="6"/>
        <v>Small</v>
      </c>
      <c r="J160" s="6">
        <v>80</v>
      </c>
      <c r="K160" s="6">
        <f t="shared" si="7"/>
        <v>160</v>
      </c>
      <c r="L160" s="6" t="str">
        <f t="shared" si="8"/>
        <v>Low-Ticket</v>
      </c>
      <c r="M160" s="5" t="str">
        <f>M161</f>
        <v>Cash</v>
      </c>
      <c r="N160" s="5" t="s">
        <v>430</v>
      </c>
    </row>
    <row r="161" spans="1:14" x14ac:dyDescent="0.25">
      <c r="A161" t="s">
        <v>170</v>
      </c>
      <c r="B161" s="2">
        <v>45563</v>
      </c>
      <c r="C161" t="s">
        <v>355</v>
      </c>
      <c r="D161" s="14" t="s">
        <v>438</v>
      </c>
      <c r="E161" s="5" t="s">
        <v>397</v>
      </c>
      <c r="F161" t="s">
        <v>446</v>
      </c>
      <c r="G161" s="5" t="s">
        <v>417</v>
      </c>
      <c r="H161" s="7">
        <v>4</v>
      </c>
      <c r="I161" s="7" t="str">
        <f t="shared" si="6"/>
        <v>Small</v>
      </c>
      <c r="J161" s="6">
        <v>80</v>
      </c>
      <c r="K161" s="6">
        <f t="shared" si="7"/>
        <v>320</v>
      </c>
      <c r="L161" s="6" t="str">
        <f t="shared" si="8"/>
        <v>Low-Ticket</v>
      </c>
      <c r="M161" s="5" t="s">
        <v>425</v>
      </c>
      <c r="N161" s="5" t="s">
        <v>432</v>
      </c>
    </row>
    <row r="162" spans="1:14" x14ac:dyDescent="0.25">
      <c r="A162" t="s">
        <v>35</v>
      </c>
      <c r="B162" s="2">
        <v>45602</v>
      </c>
      <c r="C162" t="s">
        <v>232</v>
      </c>
      <c r="D162" s="14" t="s">
        <v>441</v>
      </c>
      <c r="E162" s="5" t="s">
        <v>404</v>
      </c>
      <c r="F162" t="s">
        <v>444</v>
      </c>
      <c r="G162" s="5" t="s">
        <v>418</v>
      </c>
      <c r="H162" s="7">
        <v>5</v>
      </c>
      <c r="I162" s="7" t="str">
        <f t="shared" si="6"/>
        <v>Small</v>
      </c>
      <c r="J162" s="6">
        <v>100</v>
      </c>
      <c r="K162" s="6">
        <f t="shared" si="7"/>
        <v>500</v>
      </c>
      <c r="L162" s="6" t="str">
        <f t="shared" si="8"/>
        <v>Low-Ticket</v>
      </c>
      <c r="M162" s="5" t="s">
        <v>425</v>
      </c>
      <c r="N162" s="5" t="s">
        <v>433</v>
      </c>
    </row>
    <row r="163" spans="1:14" x14ac:dyDescent="0.25">
      <c r="A163" t="s">
        <v>171</v>
      </c>
      <c r="B163" s="2">
        <v>45636</v>
      </c>
      <c r="C163" t="s">
        <v>356</v>
      </c>
      <c r="D163" s="14" t="s">
        <v>437</v>
      </c>
      <c r="E163" s="5" t="s">
        <v>398</v>
      </c>
      <c r="F163" t="s">
        <v>442</v>
      </c>
      <c r="G163" s="5" t="s">
        <v>417</v>
      </c>
      <c r="H163" s="7">
        <v>2</v>
      </c>
      <c r="I163" s="7" t="str">
        <f t="shared" si="6"/>
        <v>Small</v>
      </c>
      <c r="J163" s="6">
        <v>50</v>
      </c>
      <c r="K163" s="6">
        <f t="shared" si="7"/>
        <v>100</v>
      </c>
      <c r="L163" s="6" t="str">
        <f t="shared" si="8"/>
        <v>Low-Ticket</v>
      </c>
      <c r="M163" s="5" t="s">
        <v>424</v>
      </c>
      <c r="N163" s="5" t="s">
        <v>430</v>
      </c>
    </row>
    <row r="164" spans="1:14" x14ac:dyDescent="0.25">
      <c r="A164" t="s">
        <v>172</v>
      </c>
      <c r="B164" s="2">
        <v>45549</v>
      </c>
      <c r="C164" t="s">
        <v>214</v>
      </c>
      <c r="D164" s="14" t="s">
        <v>441</v>
      </c>
      <c r="E164" s="5" t="s">
        <v>405</v>
      </c>
      <c r="F164" t="s">
        <v>442</v>
      </c>
      <c r="G164" s="5" t="s">
        <v>420</v>
      </c>
      <c r="H164" s="7">
        <v>5</v>
      </c>
      <c r="I164" s="7" t="str">
        <f t="shared" si="6"/>
        <v>Small</v>
      </c>
      <c r="J164" s="6">
        <v>100</v>
      </c>
      <c r="K164" s="6">
        <f t="shared" si="7"/>
        <v>500</v>
      </c>
      <c r="L164" s="6" t="str">
        <f t="shared" si="8"/>
        <v>Low-Ticket</v>
      </c>
      <c r="M164" s="5" t="str">
        <f>M165</f>
        <v>Credit Card</v>
      </c>
      <c r="N164" s="5" t="s">
        <v>428</v>
      </c>
    </row>
    <row r="165" spans="1:14" x14ac:dyDescent="0.25">
      <c r="A165" t="s">
        <v>173</v>
      </c>
      <c r="B165" s="2">
        <v>45634</v>
      </c>
      <c r="C165" t="s">
        <v>357</v>
      </c>
      <c r="D165" s="14" t="s">
        <v>438</v>
      </c>
      <c r="E165" s="5" t="s">
        <v>407</v>
      </c>
      <c r="F165" t="s">
        <v>446</v>
      </c>
      <c r="G165" s="5" t="s">
        <v>418</v>
      </c>
      <c r="H165" s="7">
        <v>1</v>
      </c>
      <c r="I165" s="7" t="str">
        <f t="shared" si="6"/>
        <v>Small</v>
      </c>
      <c r="J165" s="6">
        <v>75.5</v>
      </c>
      <c r="K165" s="6">
        <f t="shared" si="7"/>
        <v>75.5</v>
      </c>
      <c r="L165" s="6" t="str">
        <f t="shared" si="8"/>
        <v>Low-Ticket</v>
      </c>
      <c r="M165" s="5" t="s">
        <v>424</v>
      </c>
      <c r="N165" s="5" t="s">
        <v>429</v>
      </c>
    </row>
    <row r="166" spans="1:14" x14ac:dyDescent="0.25">
      <c r="A166" t="s">
        <v>174</v>
      </c>
      <c r="B166" s="2">
        <v>45457</v>
      </c>
      <c r="C166" t="s">
        <v>358</v>
      </c>
      <c r="D166" s="14" t="s">
        <v>440</v>
      </c>
      <c r="E166" s="5" t="s">
        <v>401</v>
      </c>
      <c r="F166" t="s">
        <v>442</v>
      </c>
      <c r="G166" s="5" t="s">
        <v>416</v>
      </c>
      <c r="H166" s="7">
        <v>100</v>
      </c>
      <c r="I166" s="7" t="str">
        <f t="shared" si="6"/>
        <v>Big</v>
      </c>
      <c r="J166" s="6">
        <v>80</v>
      </c>
      <c r="K166" s="6">
        <f t="shared" si="7"/>
        <v>8000</v>
      </c>
      <c r="L166" s="6" t="str">
        <f t="shared" si="8"/>
        <v>High-Ticket</v>
      </c>
      <c r="M166" s="5" t="s">
        <v>424</v>
      </c>
      <c r="N166" s="5" t="s">
        <v>428</v>
      </c>
    </row>
    <row r="167" spans="1:14" x14ac:dyDescent="0.25">
      <c r="A167" t="s">
        <v>175</v>
      </c>
      <c r="B167" s="2">
        <v>45457</v>
      </c>
      <c r="C167" t="s">
        <v>359</v>
      </c>
      <c r="D167" s="14" t="s">
        <v>440</v>
      </c>
      <c r="E167" s="5" t="s">
        <v>406</v>
      </c>
      <c r="F167" t="s">
        <v>445</v>
      </c>
      <c r="G167" s="5" t="s">
        <v>419</v>
      </c>
      <c r="H167" s="7">
        <v>2</v>
      </c>
      <c r="I167" s="7" t="str">
        <f t="shared" si="6"/>
        <v>Small</v>
      </c>
      <c r="J167" s="6">
        <v>50</v>
      </c>
      <c r="K167" s="6">
        <f t="shared" si="7"/>
        <v>100</v>
      </c>
      <c r="L167" s="6" t="str">
        <f t="shared" si="8"/>
        <v>Low-Ticket</v>
      </c>
      <c r="M167" s="5" t="s">
        <v>425</v>
      </c>
      <c r="N167" s="5" t="s">
        <v>430</v>
      </c>
    </row>
    <row r="168" spans="1:14" x14ac:dyDescent="0.25">
      <c r="A168" t="s">
        <v>176</v>
      </c>
      <c r="B168" s="2">
        <v>45772</v>
      </c>
      <c r="C168" t="s">
        <v>360</v>
      </c>
      <c r="D168" s="14" t="s">
        <v>437</v>
      </c>
      <c r="E168" s="5" t="s">
        <v>396</v>
      </c>
      <c r="F168" t="s">
        <v>446</v>
      </c>
      <c r="G168" s="5" t="s">
        <v>416</v>
      </c>
      <c r="H168" s="7">
        <v>100</v>
      </c>
      <c r="I168" s="7" t="str">
        <f t="shared" si="6"/>
        <v>Big</v>
      </c>
      <c r="J168" s="6">
        <v>75.5</v>
      </c>
      <c r="K168" s="6">
        <f t="shared" si="7"/>
        <v>7550</v>
      </c>
      <c r="L168" s="6" t="str">
        <f t="shared" si="8"/>
        <v>High-Ticket</v>
      </c>
      <c r="M168" s="5" t="s">
        <v>426</v>
      </c>
      <c r="N168" s="5" t="s">
        <v>428</v>
      </c>
    </row>
    <row r="169" spans="1:14" x14ac:dyDescent="0.25">
      <c r="A169" t="s">
        <v>177</v>
      </c>
      <c r="B169" s="2">
        <v>45474</v>
      </c>
      <c r="C169" t="s">
        <v>361</v>
      </c>
      <c r="D169" s="14" t="s">
        <v>437</v>
      </c>
      <c r="E169" s="5" t="s">
        <v>398</v>
      </c>
      <c r="F169" t="s">
        <v>445</v>
      </c>
      <c r="G169" s="5" t="str">
        <f>G168</f>
        <v>Blue</v>
      </c>
      <c r="H169" s="7">
        <v>1</v>
      </c>
      <c r="I169" s="7" t="str">
        <f t="shared" si="6"/>
        <v>Small</v>
      </c>
      <c r="J169" s="6">
        <v>75.5</v>
      </c>
      <c r="K169" s="6">
        <f t="shared" si="7"/>
        <v>75.5</v>
      </c>
      <c r="L169" s="6" t="str">
        <f t="shared" si="8"/>
        <v>Low-Ticket</v>
      </c>
      <c r="M169" s="5" t="s">
        <v>426</v>
      </c>
      <c r="N169" s="5" t="s">
        <v>430</v>
      </c>
    </row>
    <row r="170" spans="1:14" x14ac:dyDescent="0.25">
      <c r="A170" t="s">
        <v>178</v>
      </c>
      <c r="B170" s="2">
        <v>45707</v>
      </c>
      <c r="C170" t="s">
        <v>362</v>
      </c>
      <c r="D170" s="14" t="s">
        <v>437</v>
      </c>
      <c r="E170" s="5" t="s">
        <v>395</v>
      </c>
      <c r="F170" t="s">
        <v>444</v>
      </c>
      <c r="G170" s="5" t="s">
        <v>417</v>
      </c>
      <c r="H170" s="7">
        <v>1</v>
      </c>
      <c r="I170" s="7" t="str">
        <f t="shared" si="6"/>
        <v>Small</v>
      </c>
      <c r="J170" s="6">
        <v>100</v>
      </c>
      <c r="K170" s="6">
        <f t="shared" si="7"/>
        <v>100</v>
      </c>
      <c r="L170" s="6" t="str">
        <f t="shared" si="8"/>
        <v>Low-Ticket</v>
      </c>
      <c r="M170" s="5" t="s">
        <v>424</v>
      </c>
      <c r="N170" s="5" t="s">
        <v>428</v>
      </c>
    </row>
    <row r="171" spans="1:14" x14ac:dyDescent="0.25">
      <c r="A171" t="s">
        <v>179</v>
      </c>
      <c r="B171" s="2">
        <v>45528</v>
      </c>
      <c r="C171" t="s">
        <v>363</v>
      </c>
      <c r="D171" s="14" t="s">
        <v>440</v>
      </c>
      <c r="E171" s="5" t="s">
        <v>401</v>
      </c>
      <c r="F171" t="s">
        <v>445</v>
      </c>
      <c r="G171" s="5" t="s">
        <v>420</v>
      </c>
      <c r="H171" s="7">
        <v>3</v>
      </c>
      <c r="I171" s="7" t="str">
        <f t="shared" si="6"/>
        <v>Small</v>
      </c>
      <c r="J171" s="6">
        <v>50</v>
      </c>
      <c r="K171" s="6">
        <f t="shared" si="7"/>
        <v>150</v>
      </c>
      <c r="L171" s="6" t="str">
        <f t="shared" si="8"/>
        <v>Low-Ticket</v>
      </c>
      <c r="M171" s="5" t="s">
        <v>425</v>
      </c>
      <c r="N171" s="5" t="s">
        <v>428</v>
      </c>
    </row>
    <row r="172" spans="1:14" x14ac:dyDescent="0.25">
      <c r="A172" t="s">
        <v>180</v>
      </c>
      <c r="B172" s="2">
        <v>45521</v>
      </c>
      <c r="C172" t="s">
        <v>364</v>
      </c>
      <c r="D172" s="14" t="s">
        <v>438</v>
      </c>
      <c r="E172" s="5" t="s">
        <v>403</v>
      </c>
      <c r="F172" t="s">
        <v>445</v>
      </c>
      <c r="G172" s="5" t="s">
        <v>420</v>
      </c>
      <c r="H172" s="7">
        <v>5</v>
      </c>
      <c r="I172" s="7" t="str">
        <f t="shared" si="6"/>
        <v>Small</v>
      </c>
      <c r="J172" s="6">
        <v>50</v>
      </c>
      <c r="K172" s="6">
        <f t="shared" si="7"/>
        <v>250</v>
      </c>
      <c r="L172" s="6" t="str">
        <f t="shared" si="8"/>
        <v>Low-Ticket</v>
      </c>
      <c r="M172" s="5" t="s">
        <v>424</v>
      </c>
      <c r="N172" s="5" t="s">
        <v>428</v>
      </c>
    </row>
    <row r="173" spans="1:14" x14ac:dyDescent="0.25">
      <c r="A173" t="s">
        <v>181</v>
      </c>
      <c r="B173" s="2">
        <v>45567</v>
      </c>
      <c r="C173" t="s">
        <v>255</v>
      </c>
      <c r="D173" s="14" t="s">
        <v>437</v>
      </c>
      <c r="E173" s="5" t="s">
        <v>396</v>
      </c>
      <c r="F173" t="s">
        <v>442</v>
      </c>
      <c r="G173" s="5" t="s">
        <v>419</v>
      </c>
      <c r="H173" s="7">
        <v>100</v>
      </c>
      <c r="I173" s="7" t="str">
        <f t="shared" si="6"/>
        <v>Big</v>
      </c>
      <c r="J173" s="6">
        <v>50</v>
      </c>
      <c r="K173" s="6">
        <f t="shared" si="7"/>
        <v>5000</v>
      </c>
      <c r="L173" s="6" t="str">
        <f t="shared" si="8"/>
        <v>High-Ticket</v>
      </c>
      <c r="M173" s="5" t="s">
        <v>424</v>
      </c>
      <c r="N173" s="5" t="s">
        <v>428</v>
      </c>
    </row>
    <row r="174" spans="1:14" x14ac:dyDescent="0.25">
      <c r="A174" t="s">
        <v>182</v>
      </c>
      <c r="B174" s="2">
        <v>45714</v>
      </c>
      <c r="C174" t="s">
        <v>365</v>
      </c>
      <c r="D174" s="14" t="s">
        <v>438</v>
      </c>
      <c r="E174" s="5" t="s">
        <v>397</v>
      </c>
      <c r="F174" t="s">
        <v>445</v>
      </c>
      <c r="G174" s="5" t="s">
        <v>416</v>
      </c>
      <c r="H174" s="7">
        <f>21</f>
        <v>21</v>
      </c>
      <c r="I174" s="7" t="str">
        <f t="shared" si="6"/>
        <v>Normal</v>
      </c>
      <c r="J174" s="6">
        <v>50</v>
      </c>
      <c r="K174" s="6">
        <f t="shared" si="7"/>
        <v>1050</v>
      </c>
      <c r="L174" s="6" t="str">
        <f t="shared" si="8"/>
        <v>Normal-Ticket</v>
      </c>
      <c r="M174" s="5" t="s">
        <v>425</v>
      </c>
      <c r="N174" s="5" t="s">
        <v>428</v>
      </c>
    </row>
    <row r="175" spans="1:14" x14ac:dyDescent="0.25">
      <c r="A175" t="s">
        <v>183</v>
      </c>
      <c r="B175" s="2">
        <v>45686</v>
      </c>
      <c r="C175" t="s">
        <v>366</v>
      </c>
      <c r="D175" s="14" t="s">
        <v>440</v>
      </c>
      <c r="E175" s="5" t="s">
        <v>401</v>
      </c>
      <c r="F175" t="s">
        <v>442</v>
      </c>
      <c r="G175" s="5" t="str">
        <f>G174</f>
        <v>Blue</v>
      </c>
      <c r="H175" s="7">
        <v>5</v>
      </c>
      <c r="I175" s="7" t="str">
        <f t="shared" si="6"/>
        <v>Small</v>
      </c>
      <c r="J175" s="6">
        <v>50</v>
      </c>
      <c r="K175" s="6">
        <f t="shared" si="7"/>
        <v>250</v>
      </c>
      <c r="L175" s="6" t="str">
        <f t="shared" si="8"/>
        <v>Low-Ticket</v>
      </c>
      <c r="M175" s="5" t="s">
        <v>426</v>
      </c>
      <c r="N175" s="5" t="s">
        <v>428</v>
      </c>
    </row>
    <row r="176" spans="1:14" x14ac:dyDescent="0.25">
      <c r="A176" t="s">
        <v>175</v>
      </c>
      <c r="B176" s="2">
        <v>45457</v>
      </c>
      <c r="C176" t="s">
        <v>359</v>
      </c>
      <c r="D176" s="14" t="s">
        <v>440</v>
      </c>
      <c r="E176" s="5" t="s">
        <v>406</v>
      </c>
      <c r="F176" t="s">
        <v>445</v>
      </c>
      <c r="G176" s="5" t="s">
        <v>419</v>
      </c>
      <c r="H176" s="7">
        <v>2</v>
      </c>
      <c r="I176" s="7" t="str">
        <f t="shared" si="6"/>
        <v>Small</v>
      </c>
      <c r="J176" s="6">
        <v>50</v>
      </c>
      <c r="K176" s="6">
        <f t="shared" si="7"/>
        <v>100</v>
      </c>
      <c r="L176" s="6" t="str">
        <f t="shared" si="8"/>
        <v>Low-Ticket</v>
      </c>
      <c r="M176" s="5" t="s">
        <v>425</v>
      </c>
      <c r="N176" s="5" t="s">
        <v>430</v>
      </c>
    </row>
    <row r="177" spans="1:14" x14ac:dyDescent="0.25">
      <c r="A177" t="s">
        <v>184</v>
      </c>
      <c r="B177" s="2">
        <v>45586</v>
      </c>
      <c r="C177" t="s">
        <v>241</v>
      </c>
      <c r="D177" s="14" t="s">
        <v>439</v>
      </c>
      <c r="E177" s="5" t="s">
        <v>399</v>
      </c>
      <c r="F177" t="s">
        <v>446</v>
      </c>
      <c r="G177" s="5" t="s">
        <v>416</v>
      </c>
      <c r="H177" s="7">
        <v>100</v>
      </c>
      <c r="I177" s="7" t="str">
        <f t="shared" si="6"/>
        <v>Big</v>
      </c>
      <c r="J177" s="6">
        <v>50</v>
      </c>
      <c r="K177" s="6">
        <f t="shared" si="7"/>
        <v>5000</v>
      </c>
      <c r="L177" s="6" t="str">
        <f t="shared" si="8"/>
        <v>High-Ticket</v>
      </c>
      <c r="M177" s="5" t="s">
        <v>424</v>
      </c>
      <c r="N177" s="5" t="s">
        <v>428</v>
      </c>
    </row>
    <row r="178" spans="1:14" x14ac:dyDescent="0.25">
      <c r="A178" t="s">
        <v>185</v>
      </c>
      <c r="B178" s="2">
        <v>45692</v>
      </c>
      <c r="C178" t="s">
        <v>241</v>
      </c>
      <c r="D178" s="14" t="s">
        <v>439</v>
      </c>
      <c r="E178" s="5" t="s">
        <v>400</v>
      </c>
      <c r="F178" t="s">
        <v>445</v>
      </c>
      <c r="G178" s="5" t="s">
        <v>419</v>
      </c>
      <c r="H178" s="7">
        <v>3</v>
      </c>
      <c r="I178" s="7" t="str">
        <f t="shared" si="6"/>
        <v>Small</v>
      </c>
      <c r="J178" s="6">
        <v>50</v>
      </c>
      <c r="K178" s="6">
        <f t="shared" si="7"/>
        <v>150</v>
      </c>
      <c r="L178" s="6" t="str">
        <f t="shared" si="8"/>
        <v>Low-Ticket</v>
      </c>
      <c r="M178" s="5" t="s">
        <v>426</v>
      </c>
      <c r="N178" s="5" t="s">
        <v>430</v>
      </c>
    </row>
    <row r="179" spans="1:14" x14ac:dyDescent="0.25">
      <c r="A179" t="s">
        <v>186</v>
      </c>
      <c r="B179" s="2">
        <v>45603</v>
      </c>
      <c r="C179" t="s">
        <v>367</v>
      </c>
      <c r="D179" s="14" t="s">
        <v>437</v>
      </c>
      <c r="E179" s="5" t="s">
        <v>395</v>
      </c>
      <c r="F179" t="s">
        <v>442</v>
      </c>
      <c r="G179" s="5" t="s">
        <v>419</v>
      </c>
      <c r="H179" s="7">
        <v>2</v>
      </c>
      <c r="I179" s="7" t="str">
        <f t="shared" si="6"/>
        <v>Small</v>
      </c>
      <c r="J179" s="6">
        <v>100</v>
      </c>
      <c r="K179" s="6">
        <f t="shared" si="7"/>
        <v>200</v>
      </c>
      <c r="L179" s="6" t="str">
        <f t="shared" si="8"/>
        <v>Low-Ticket</v>
      </c>
      <c r="M179" s="5" t="s">
        <v>424</v>
      </c>
      <c r="N179" s="5" t="s">
        <v>428</v>
      </c>
    </row>
    <row r="180" spans="1:14" x14ac:dyDescent="0.25">
      <c r="A180" t="s">
        <v>12</v>
      </c>
      <c r="B180" s="2">
        <v>45771</v>
      </c>
      <c r="C180" t="s">
        <v>210</v>
      </c>
      <c r="D180" s="14" t="s">
        <v>437</v>
      </c>
      <c r="E180" s="5" t="s">
        <v>396</v>
      </c>
      <c r="F180" t="s">
        <v>443</v>
      </c>
      <c r="G180" s="5" t="s">
        <v>416</v>
      </c>
      <c r="H180" s="7">
        <v>100</v>
      </c>
      <c r="I180" s="7" t="str">
        <f t="shared" si="6"/>
        <v>Big</v>
      </c>
      <c r="J180" s="6">
        <v>80</v>
      </c>
      <c r="K180" s="6">
        <f t="shared" si="7"/>
        <v>8000</v>
      </c>
      <c r="L180" s="6" t="str">
        <f t="shared" si="8"/>
        <v>High-Ticket</v>
      </c>
      <c r="M180" s="5" t="s">
        <v>424</v>
      </c>
      <c r="N180" s="5" t="s">
        <v>428</v>
      </c>
    </row>
    <row r="181" spans="1:14" x14ac:dyDescent="0.25">
      <c r="A181" t="s">
        <v>187</v>
      </c>
      <c r="B181" s="2">
        <v>45690</v>
      </c>
      <c r="C181" t="s">
        <v>368</v>
      </c>
      <c r="D181" s="14" t="s">
        <v>438</v>
      </c>
      <c r="E181" s="5" t="s">
        <v>397</v>
      </c>
      <c r="F181" t="s">
        <v>442</v>
      </c>
      <c r="G181" s="5" t="s">
        <v>418</v>
      </c>
      <c r="H181" s="7">
        <v>3</v>
      </c>
      <c r="I181" s="7" t="str">
        <f t="shared" si="6"/>
        <v>Small</v>
      </c>
      <c r="J181" s="6">
        <v>50</v>
      </c>
      <c r="K181" s="6">
        <f t="shared" si="7"/>
        <v>150</v>
      </c>
      <c r="L181" s="6" t="str">
        <f t="shared" si="8"/>
        <v>Low-Ticket</v>
      </c>
      <c r="M181" s="5" t="str">
        <f>M182</f>
        <v>Credit Card</v>
      </c>
      <c r="N181" s="5" t="s">
        <v>429</v>
      </c>
    </row>
    <row r="182" spans="1:14" x14ac:dyDescent="0.25">
      <c r="A182" t="s">
        <v>188</v>
      </c>
      <c r="B182" s="2">
        <v>45634</v>
      </c>
      <c r="C182" t="s">
        <v>369</v>
      </c>
      <c r="D182" s="14" t="s">
        <v>438</v>
      </c>
      <c r="E182" s="5" t="s">
        <v>403</v>
      </c>
      <c r="F182" t="s">
        <v>445</v>
      </c>
      <c r="G182" s="5" t="s">
        <v>417</v>
      </c>
      <c r="H182" s="7">
        <v>2</v>
      </c>
      <c r="I182" s="7" t="str">
        <f t="shared" si="6"/>
        <v>Small</v>
      </c>
      <c r="J182" s="6">
        <v>50</v>
      </c>
      <c r="K182" s="6">
        <f t="shared" si="7"/>
        <v>100</v>
      </c>
      <c r="L182" s="6" t="str">
        <f t="shared" si="8"/>
        <v>Low-Ticket</v>
      </c>
      <c r="M182" s="5" t="s">
        <v>424</v>
      </c>
      <c r="N182" s="5" t="s">
        <v>430</v>
      </c>
    </row>
    <row r="183" spans="1:14" x14ac:dyDescent="0.25">
      <c r="A183" t="s">
        <v>178</v>
      </c>
      <c r="B183" s="2">
        <v>45707</v>
      </c>
      <c r="C183" t="s">
        <v>362</v>
      </c>
      <c r="D183" s="14" t="s">
        <v>437</v>
      </c>
      <c r="E183" s="5" t="s">
        <v>395</v>
      </c>
      <c r="F183" t="s">
        <v>444</v>
      </c>
      <c r="G183" s="5" t="s">
        <v>417</v>
      </c>
      <c r="H183" s="7">
        <v>1</v>
      </c>
      <c r="I183" s="7" t="str">
        <f t="shared" si="6"/>
        <v>Small</v>
      </c>
      <c r="J183" s="6">
        <v>100</v>
      </c>
      <c r="K183" s="6">
        <f t="shared" si="7"/>
        <v>100</v>
      </c>
      <c r="L183" s="6" t="str">
        <f t="shared" si="8"/>
        <v>Low-Ticket</v>
      </c>
      <c r="M183" s="5" t="s">
        <v>424</v>
      </c>
      <c r="N183" s="5" t="s">
        <v>428</v>
      </c>
    </row>
    <row r="184" spans="1:14" x14ac:dyDescent="0.25">
      <c r="A184" t="s">
        <v>189</v>
      </c>
      <c r="B184" s="2">
        <v>45498</v>
      </c>
      <c r="C184" t="s">
        <v>370</v>
      </c>
      <c r="D184" s="14" t="s">
        <v>439</v>
      </c>
      <c r="E184" s="5" t="s">
        <v>400</v>
      </c>
      <c r="F184" t="s">
        <v>443</v>
      </c>
      <c r="G184" s="5" t="s">
        <v>417</v>
      </c>
      <c r="H184" s="7">
        <v>100</v>
      </c>
      <c r="I184" s="7" t="str">
        <f t="shared" si="6"/>
        <v>Big</v>
      </c>
      <c r="J184" s="6">
        <v>50</v>
      </c>
      <c r="K184" s="6">
        <f t="shared" si="7"/>
        <v>5000</v>
      </c>
      <c r="L184" s="6" t="str">
        <f t="shared" si="8"/>
        <v>High-Ticket</v>
      </c>
      <c r="M184" s="5" t="s">
        <v>424</v>
      </c>
      <c r="N184" s="5" t="s">
        <v>429</v>
      </c>
    </row>
    <row r="185" spans="1:14" x14ac:dyDescent="0.25">
      <c r="A185" t="s">
        <v>190</v>
      </c>
      <c r="B185" s="2">
        <v>45523</v>
      </c>
      <c r="C185" t="s">
        <v>336</v>
      </c>
      <c r="D185" s="14" t="s">
        <v>438</v>
      </c>
      <c r="E185" s="5" t="s">
        <v>403</v>
      </c>
      <c r="F185" t="s">
        <v>442</v>
      </c>
      <c r="G185" s="5" t="str">
        <f>G184</f>
        <v>Red</v>
      </c>
      <c r="H185" s="7">
        <v>2</v>
      </c>
      <c r="I185" s="7" t="str">
        <f t="shared" si="6"/>
        <v>Small</v>
      </c>
      <c r="J185" s="6">
        <v>50</v>
      </c>
      <c r="K185" s="6">
        <f t="shared" si="7"/>
        <v>100</v>
      </c>
      <c r="L185" s="6" t="str">
        <f t="shared" si="8"/>
        <v>Low-Ticket</v>
      </c>
      <c r="M185" s="5" t="s">
        <v>426</v>
      </c>
      <c r="N185" s="5" t="s">
        <v>430</v>
      </c>
    </row>
    <row r="186" spans="1:14" x14ac:dyDescent="0.25">
      <c r="A186" t="s">
        <v>191</v>
      </c>
      <c r="B186" s="2">
        <v>45616</v>
      </c>
      <c r="C186" t="s">
        <v>371</v>
      </c>
      <c r="D186" s="14" t="s">
        <v>437</v>
      </c>
      <c r="E186" s="5" t="s">
        <v>398</v>
      </c>
      <c r="F186" t="s">
        <v>444</v>
      </c>
      <c r="G186" s="5" t="s">
        <v>418</v>
      </c>
      <c r="H186" s="7">
        <v>100</v>
      </c>
      <c r="I186" s="7" t="str">
        <f t="shared" si="6"/>
        <v>Big</v>
      </c>
      <c r="J186" s="6">
        <v>100</v>
      </c>
      <c r="K186" s="6">
        <f t="shared" si="7"/>
        <v>10000</v>
      </c>
      <c r="L186" s="6" t="str">
        <f t="shared" si="8"/>
        <v>High-Ticket</v>
      </c>
      <c r="M186" s="5" t="s">
        <v>426</v>
      </c>
      <c r="N186" s="5" t="s">
        <v>430</v>
      </c>
    </row>
    <row r="187" spans="1:14" x14ac:dyDescent="0.25">
      <c r="A187" t="s">
        <v>192</v>
      </c>
      <c r="B187" s="2">
        <v>45608</v>
      </c>
      <c r="C187" t="s">
        <v>372</v>
      </c>
      <c r="D187" s="14" t="s">
        <v>440</v>
      </c>
      <c r="E187" s="5" t="s">
        <v>401</v>
      </c>
      <c r="F187" t="s">
        <v>442</v>
      </c>
      <c r="G187" s="5" t="s">
        <v>419</v>
      </c>
      <c r="H187" s="7">
        <v>3</v>
      </c>
      <c r="I187" s="7" t="str">
        <f>IF(H187&lt;=5,"Small",IF(H187&lt;=50,"Normal","Big"))</f>
        <v>Small</v>
      </c>
      <c r="J187" s="6">
        <v>100</v>
      </c>
      <c r="K187" s="6">
        <f t="shared" si="7"/>
        <v>300</v>
      </c>
      <c r="L187" s="6" t="str">
        <f t="shared" si="8"/>
        <v>Low-Ticket</v>
      </c>
      <c r="M187" s="5" t="s">
        <v>424</v>
      </c>
      <c r="N187" s="5" t="s">
        <v>428</v>
      </c>
    </row>
    <row r="188" spans="1:14" x14ac:dyDescent="0.25">
      <c r="A188" t="s">
        <v>13</v>
      </c>
      <c r="B188" s="2">
        <v>45553</v>
      </c>
      <c r="C188" t="s">
        <v>211</v>
      </c>
      <c r="D188" s="14" t="s">
        <v>438</v>
      </c>
      <c r="E188" s="5" t="s">
        <v>397</v>
      </c>
      <c r="F188" t="s">
        <v>444</v>
      </c>
      <c r="G188" s="5" t="s">
        <v>416</v>
      </c>
      <c r="H188" s="7">
        <v>3</v>
      </c>
      <c r="I188" s="7" t="str">
        <f t="shared" ref="I188:I207" si="9">IF(H188&lt;=5,"Small",IF(H188&lt;=50,"Normal","Big"))</f>
        <v>Small</v>
      </c>
      <c r="J188" s="6">
        <v>100</v>
      </c>
      <c r="K188" s="6">
        <f t="shared" si="7"/>
        <v>300</v>
      </c>
      <c r="L188" s="6" t="str">
        <f t="shared" ref="L188:L207" si="10">IF(K188&lt;=500,"Low-Ticket",IF(K188&lt;=2500,"Normal-Ticket","High-Ticket"))</f>
        <v>Low-Ticket</v>
      </c>
      <c r="M188" s="5" t="s">
        <v>425</v>
      </c>
      <c r="N188" s="5" t="s">
        <v>429</v>
      </c>
    </row>
    <row r="189" spans="1:14" x14ac:dyDescent="0.25">
      <c r="A189" t="s">
        <v>34</v>
      </c>
      <c r="B189" s="2">
        <v>45592</v>
      </c>
      <c r="C189" t="s">
        <v>231</v>
      </c>
      <c r="D189" s="14" t="s">
        <v>438</v>
      </c>
      <c r="E189" s="5" t="s">
        <v>397</v>
      </c>
      <c r="F189" t="s">
        <v>446</v>
      </c>
      <c r="G189" s="5" t="s">
        <v>418</v>
      </c>
      <c r="H189" s="7">
        <v>5</v>
      </c>
      <c r="I189" s="7" t="str">
        <f t="shared" si="9"/>
        <v>Small</v>
      </c>
      <c r="J189" s="6">
        <v>80</v>
      </c>
      <c r="K189" s="6">
        <f t="shared" si="7"/>
        <v>400</v>
      </c>
      <c r="L189" s="6" t="str">
        <f t="shared" si="10"/>
        <v>Low-Ticket</v>
      </c>
      <c r="M189" s="5" t="s">
        <v>426</v>
      </c>
      <c r="N189" s="5" t="s">
        <v>428</v>
      </c>
    </row>
    <row r="190" spans="1:14" x14ac:dyDescent="0.25">
      <c r="A190" t="s">
        <v>193</v>
      </c>
      <c r="B190" s="2">
        <v>45770</v>
      </c>
      <c r="C190" t="s">
        <v>373</v>
      </c>
      <c r="D190" s="14" t="s">
        <v>440</v>
      </c>
      <c r="E190" s="5" t="s">
        <v>402</v>
      </c>
      <c r="F190" t="s">
        <v>445</v>
      </c>
      <c r="G190" s="5" t="s">
        <v>418</v>
      </c>
      <c r="H190" s="7">
        <v>3</v>
      </c>
      <c r="I190" s="7" t="str">
        <f t="shared" si="9"/>
        <v>Small</v>
      </c>
      <c r="J190" s="6">
        <v>75.5</v>
      </c>
      <c r="K190" s="6">
        <f t="shared" si="7"/>
        <v>226.5</v>
      </c>
      <c r="L190" s="6" t="str">
        <f t="shared" si="10"/>
        <v>Low-Ticket</v>
      </c>
      <c r="M190" s="5" t="s">
        <v>424</v>
      </c>
      <c r="N190" s="5" t="s">
        <v>429</v>
      </c>
    </row>
    <row r="191" spans="1:14" x14ac:dyDescent="0.25">
      <c r="A191" t="s">
        <v>194</v>
      </c>
      <c r="B191" s="2">
        <v>45472</v>
      </c>
      <c r="C191" t="s">
        <v>374</v>
      </c>
      <c r="D191" s="14" t="s">
        <v>437</v>
      </c>
      <c r="E191" s="5" t="s">
        <v>398</v>
      </c>
      <c r="F191" t="s">
        <v>444</v>
      </c>
      <c r="G191" s="5" t="s">
        <v>419</v>
      </c>
      <c r="H191" s="7">
        <v>3</v>
      </c>
      <c r="I191" s="7" t="str">
        <f t="shared" si="9"/>
        <v>Small</v>
      </c>
      <c r="J191" s="6">
        <v>80</v>
      </c>
      <c r="K191" s="6">
        <f t="shared" si="7"/>
        <v>240</v>
      </c>
      <c r="L191" s="6" t="str">
        <f t="shared" si="10"/>
        <v>Low-Ticket</v>
      </c>
      <c r="M191" s="5" t="s">
        <v>424</v>
      </c>
      <c r="N191" s="5" t="s">
        <v>428</v>
      </c>
    </row>
    <row r="192" spans="1:14" x14ac:dyDescent="0.25">
      <c r="A192" t="s">
        <v>195</v>
      </c>
      <c r="B192" s="2">
        <v>45464</v>
      </c>
      <c r="C192" t="s">
        <v>375</v>
      </c>
      <c r="D192" s="14" t="s">
        <v>439</v>
      </c>
      <c r="E192" s="5" t="s">
        <v>400</v>
      </c>
      <c r="F192" t="s">
        <v>445</v>
      </c>
      <c r="G192" s="5" t="s">
        <v>418</v>
      </c>
      <c r="H192" s="7">
        <v>3</v>
      </c>
      <c r="I192" s="7" t="str">
        <f t="shared" si="9"/>
        <v>Small</v>
      </c>
      <c r="J192" s="6">
        <v>75.5</v>
      </c>
      <c r="K192" s="6">
        <f t="shared" si="7"/>
        <v>226.5</v>
      </c>
      <c r="L192" s="6" t="str">
        <f t="shared" si="10"/>
        <v>Low-Ticket</v>
      </c>
      <c r="M192" s="5" t="s">
        <v>425</v>
      </c>
      <c r="N192" s="5" t="s">
        <v>430</v>
      </c>
    </row>
    <row r="193" spans="1:14" x14ac:dyDescent="0.25">
      <c r="A193" t="s">
        <v>196</v>
      </c>
      <c r="B193" s="2">
        <v>45448</v>
      </c>
      <c r="C193" t="s">
        <v>376</v>
      </c>
      <c r="D193" s="14" t="s">
        <v>437</v>
      </c>
      <c r="E193" s="5" t="s">
        <v>396</v>
      </c>
      <c r="F193" t="s">
        <v>442</v>
      </c>
      <c r="G193" s="5" t="s">
        <v>416</v>
      </c>
      <c r="H193" s="7">
        <v>100</v>
      </c>
      <c r="I193" s="7" t="str">
        <f t="shared" si="9"/>
        <v>Big</v>
      </c>
      <c r="J193" s="6">
        <v>100</v>
      </c>
      <c r="K193" s="6">
        <f t="shared" si="7"/>
        <v>10000</v>
      </c>
      <c r="L193" s="6" t="str">
        <f t="shared" si="10"/>
        <v>High-Ticket</v>
      </c>
      <c r="M193" s="5" t="s">
        <v>424</v>
      </c>
      <c r="N193" s="5" t="s">
        <v>428</v>
      </c>
    </row>
    <row r="194" spans="1:14" x14ac:dyDescent="0.25">
      <c r="A194" t="s">
        <v>197</v>
      </c>
      <c r="B194" s="2">
        <v>45663</v>
      </c>
      <c r="C194" t="s">
        <v>377</v>
      </c>
      <c r="D194" s="14" t="s">
        <v>438</v>
      </c>
      <c r="E194" s="5" t="s">
        <v>407</v>
      </c>
      <c r="F194" t="s">
        <v>442</v>
      </c>
      <c r="G194" s="5" t="s">
        <v>419</v>
      </c>
      <c r="H194" s="7">
        <v>3</v>
      </c>
      <c r="I194" s="7" t="str">
        <f t="shared" si="9"/>
        <v>Small</v>
      </c>
      <c r="J194" s="6">
        <v>80</v>
      </c>
      <c r="K194" s="6">
        <f t="shared" si="7"/>
        <v>240</v>
      </c>
      <c r="L194" s="6" t="str">
        <f t="shared" si="10"/>
        <v>Low-Ticket</v>
      </c>
      <c r="M194" s="5" t="s">
        <v>426</v>
      </c>
      <c r="N194" s="5" t="s">
        <v>428</v>
      </c>
    </row>
    <row r="195" spans="1:14" x14ac:dyDescent="0.25">
      <c r="A195" t="s">
        <v>199</v>
      </c>
      <c r="B195" s="2">
        <v>45783</v>
      </c>
      <c r="C195" t="s">
        <v>378</v>
      </c>
      <c r="D195" s="14" t="s">
        <v>440</v>
      </c>
      <c r="E195" s="5" t="s">
        <v>401</v>
      </c>
      <c r="F195" t="s">
        <v>442</v>
      </c>
      <c r="G195" s="5" t="s">
        <v>417</v>
      </c>
      <c r="H195" s="7">
        <v>3</v>
      </c>
      <c r="I195" s="7" t="str">
        <f t="shared" si="9"/>
        <v>Small</v>
      </c>
      <c r="J195" s="6">
        <v>50</v>
      </c>
      <c r="K195" s="6">
        <f t="shared" ref="K195:K207" si="11">(H195*J195)</f>
        <v>150</v>
      </c>
      <c r="L195" s="6" t="str">
        <f t="shared" si="10"/>
        <v>Low-Ticket</v>
      </c>
      <c r="M195" s="5" t="s">
        <v>424</v>
      </c>
      <c r="N195" s="5" t="s">
        <v>429</v>
      </c>
    </row>
    <row r="196" spans="1:14" x14ac:dyDescent="0.25">
      <c r="A196" t="s">
        <v>200</v>
      </c>
      <c r="B196" s="2">
        <v>45796</v>
      </c>
      <c r="C196" t="s">
        <v>379</v>
      </c>
      <c r="D196" s="14" t="s">
        <v>439</v>
      </c>
      <c r="E196" s="5" t="s">
        <v>400</v>
      </c>
      <c r="F196" t="s">
        <v>445</v>
      </c>
      <c r="G196" s="5" t="s">
        <v>416</v>
      </c>
      <c r="H196" s="7">
        <v>5</v>
      </c>
      <c r="I196" s="7" t="str">
        <f t="shared" si="9"/>
        <v>Small</v>
      </c>
      <c r="J196" s="6">
        <v>50</v>
      </c>
      <c r="K196" s="6">
        <f t="shared" si="11"/>
        <v>250</v>
      </c>
      <c r="L196" s="6" t="str">
        <f t="shared" si="10"/>
        <v>Low-Ticket</v>
      </c>
      <c r="M196" s="5" t="s">
        <v>426</v>
      </c>
      <c r="N196" s="5" t="s">
        <v>428</v>
      </c>
    </row>
    <row r="197" spans="1:14" x14ac:dyDescent="0.25">
      <c r="A197" t="s">
        <v>100</v>
      </c>
      <c r="B197" s="2">
        <v>45488</v>
      </c>
      <c r="C197" t="s">
        <v>294</v>
      </c>
      <c r="D197" s="14" t="s">
        <v>441</v>
      </c>
      <c r="E197" s="5" t="s">
        <v>404</v>
      </c>
      <c r="F197" t="s">
        <v>445</v>
      </c>
      <c r="G197" s="5" t="s">
        <v>418</v>
      </c>
      <c r="H197" s="7">
        <v>4</v>
      </c>
      <c r="I197" s="7" t="str">
        <f t="shared" si="9"/>
        <v>Small</v>
      </c>
      <c r="J197" s="6">
        <v>100</v>
      </c>
      <c r="K197" s="6">
        <f t="shared" si="11"/>
        <v>400</v>
      </c>
      <c r="L197" s="6" t="str">
        <f t="shared" si="10"/>
        <v>Low-Ticket</v>
      </c>
      <c r="M197" s="5" t="s">
        <v>426</v>
      </c>
      <c r="N197" s="5" t="s">
        <v>428</v>
      </c>
    </row>
    <row r="198" spans="1:14" x14ac:dyDescent="0.25">
      <c r="A198" t="s">
        <v>120</v>
      </c>
      <c r="B198" s="2">
        <v>45514</v>
      </c>
      <c r="C198" t="s">
        <v>295</v>
      </c>
      <c r="D198" s="14" t="s">
        <v>438</v>
      </c>
      <c r="E198" s="5" t="s">
        <v>403</v>
      </c>
      <c r="F198" t="s">
        <v>444</v>
      </c>
      <c r="G198" s="5" t="s">
        <v>417</v>
      </c>
      <c r="H198" s="7">
        <v>2</v>
      </c>
      <c r="I198" s="7" t="str">
        <f t="shared" si="9"/>
        <v>Small</v>
      </c>
      <c r="J198" s="6">
        <v>80</v>
      </c>
      <c r="K198" s="6">
        <f t="shared" si="11"/>
        <v>160</v>
      </c>
      <c r="L198" s="6" t="str">
        <f t="shared" si="10"/>
        <v>Low-Ticket</v>
      </c>
      <c r="M198" s="5" t="s">
        <v>425</v>
      </c>
      <c r="N198" s="5" t="s">
        <v>430</v>
      </c>
    </row>
    <row r="199" spans="1:14" x14ac:dyDescent="0.25">
      <c r="A199" t="s">
        <v>201</v>
      </c>
      <c r="B199" s="2">
        <v>45676</v>
      </c>
      <c r="C199" t="s">
        <v>380</v>
      </c>
      <c r="D199" s="14" t="s">
        <v>441</v>
      </c>
      <c r="E199" s="5" t="s">
        <v>405</v>
      </c>
      <c r="F199" t="s">
        <v>445</v>
      </c>
      <c r="G199" s="5" t="s">
        <v>420</v>
      </c>
      <c r="H199" s="7">
        <v>5</v>
      </c>
      <c r="I199" s="7" t="str">
        <f t="shared" si="9"/>
        <v>Small</v>
      </c>
      <c r="J199" s="6">
        <v>100</v>
      </c>
      <c r="K199" s="6">
        <f t="shared" si="11"/>
        <v>500</v>
      </c>
      <c r="L199" s="6" t="str">
        <f t="shared" si="10"/>
        <v>Low-Ticket</v>
      </c>
      <c r="M199" s="5" t="s">
        <v>424</v>
      </c>
      <c r="N199" s="5" t="s">
        <v>429</v>
      </c>
    </row>
    <row r="200" spans="1:14" x14ac:dyDescent="0.25">
      <c r="A200" t="s">
        <v>203</v>
      </c>
      <c r="B200" s="2">
        <v>45464</v>
      </c>
      <c r="C200" t="s">
        <v>381</v>
      </c>
      <c r="D200" s="14" t="s">
        <v>437</v>
      </c>
      <c r="E200" s="5" t="s">
        <v>398</v>
      </c>
      <c r="F200" t="s">
        <v>443</v>
      </c>
      <c r="G200" s="5" t="s">
        <v>419</v>
      </c>
      <c r="H200" s="7">
        <v>1</v>
      </c>
      <c r="I200" s="7" t="str">
        <f t="shared" si="9"/>
        <v>Small</v>
      </c>
      <c r="J200" s="6">
        <v>50</v>
      </c>
      <c r="K200" s="6">
        <f t="shared" si="11"/>
        <v>50</v>
      </c>
      <c r="L200" s="6" t="str">
        <f t="shared" si="10"/>
        <v>Low-Ticket</v>
      </c>
      <c r="M200" s="5" t="s">
        <v>424</v>
      </c>
      <c r="N200" s="5" t="s">
        <v>429</v>
      </c>
    </row>
    <row r="201" spans="1:14" x14ac:dyDescent="0.25">
      <c r="A201" t="s">
        <v>204</v>
      </c>
      <c r="B201" s="2">
        <v>45570</v>
      </c>
      <c r="C201" t="s">
        <v>310</v>
      </c>
      <c r="D201" s="14" t="s">
        <v>437</v>
      </c>
      <c r="E201" s="5" t="s">
        <v>398</v>
      </c>
      <c r="F201" t="s">
        <v>444</v>
      </c>
      <c r="G201" s="5" t="s">
        <v>416</v>
      </c>
      <c r="H201" s="7">
        <v>3</v>
      </c>
      <c r="I201" s="7" t="str">
        <f t="shared" si="9"/>
        <v>Small</v>
      </c>
      <c r="J201" s="6">
        <v>80</v>
      </c>
      <c r="K201" s="6">
        <f t="shared" si="11"/>
        <v>240</v>
      </c>
      <c r="L201" s="6" t="str">
        <f t="shared" si="10"/>
        <v>Low-Ticket</v>
      </c>
      <c r="M201" s="5" t="s">
        <v>424</v>
      </c>
      <c r="N201" s="5" t="s">
        <v>428</v>
      </c>
    </row>
    <row r="202" spans="1:14" x14ac:dyDescent="0.25">
      <c r="A202" t="s">
        <v>205</v>
      </c>
      <c r="B202" s="2">
        <v>45492</v>
      </c>
      <c r="C202" t="s">
        <v>382</v>
      </c>
      <c r="D202" s="14" t="s">
        <v>438</v>
      </c>
      <c r="E202" s="5" t="s">
        <v>407</v>
      </c>
      <c r="F202" t="s">
        <v>444</v>
      </c>
      <c r="G202" s="5" t="s">
        <v>420</v>
      </c>
      <c r="H202" s="7">
        <v>4</v>
      </c>
      <c r="I202" s="7" t="str">
        <f t="shared" si="9"/>
        <v>Small</v>
      </c>
      <c r="J202" s="6">
        <v>100</v>
      </c>
      <c r="K202" s="6">
        <f t="shared" si="11"/>
        <v>400</v>
      </c>
      <c r="L202" s="6" t="str">
        <f t="shared" si="10"/>
        <v>Low-Ticket</v>
      </c>
      <c r="M202" s="5" t="s">
        <v>424</v>
      </c>
      <c r="N202" s="5" t="s">
        <v>428</v>
      </c>
    </row>
    <row r="203" spans="1:14" x14ac:dyDescent="0.25">
      <c r="A203" t="s">
        <v>206</v>
      </c>
      <c r="B203" s="2">
        <v>45494</v>
      </c>
      <c r="C203" t="s">
        <v>301</v>
      </c>
      <c r="D203" s="14" t="s">
        <v>438</v>
      </c>
      <c r="E203" s="5" t="s">
        <v>397</v>
      </c>
      <c r="F203" t="s">
        <v>446</v>
      </c>
      <c r="G203" s="5" t="s">
        <v>417</v>
      </c>
      <c r="H203" s="7">
        <v>2</v>
      </c>
      <c r="I203" s="7" t="str">
        <f t="shared" si="9"/>
        <v>Small</v>
      </c>
      <c r="J203" s="6">
        <v>75.5</v>
      </c>
      <c r="K203" s="6">
        <f t="shared" si="11"/>
        <v>151</v>
      </c>
      <c r="L203" s="6" t="str">
        <f t="shared" si="10"/>
        <v>Low-Ticket</v>
      </c>
      <c r="M203" s="5" t="s">
        <v>424</v>
      </c>
      <c r="N203" s="5" t="s">
        <v>430</v>
      </c>
    </row>
    <row r="204" spans="1:14" x14ac:dyDescent="0.25">
      <c r="A204" t="s">
        <v>207</v>
      </c>
      <c r="B204" s="2">
        <v>45518</v>
      </c>
      <c r="C204" t="s">
        <v>383</v>
      </c>
      <c r="D204" s="14" t="s">
        <v>440</v>
      </c>
      <c r="E204" s="5" t="s">
        <v>401</v>
      </c>
      <c r="F204" t="s">
        <v>445</v>
      </c>
      <c r="G204" s="5" t="s">
        <v>416</v>
      </c>
      <c r="H204" s="7">
        <v>3</v>
      </c>
      <c r="I204" s="7" t="str">
        <f t="shared" si="9"/>
        <v>Small</v>
      </c>
      <c r="J204" s="6">
        <v>50</v>
      </c>
      <c r="K204" s="6">
        <f t="shared" si="11"/>
        <v>150</v>
      </c>
      <c r="L204" s="6" t="str">
        <f t="shared" si="10"/>
        <v>Low-Ticket</v>
      </c>
      <c r="M204" s="5" t="s">
        <v>426</v>
      </c>
      <c r="N204" s="5" t="s">
        <v>428</v>
      </c>
    </row>
    <row r="205" spans="1:14" x14ac:dyDescent="0.25">
      <c r="A205" t="s">
        <v>204</v>
      </c>
      <c r="B205" s="2">
        <v>45570</v>
      </c>
      <c r="C205" t="s">
        <v>310</v>
      </c>
      <c r="D205" s="14" t="s">
        <v>437</v>
      </c>
      <c r="E205" s="5" t="s">
        <v>398</v>
      </c>
      <c r="F205" t="s">
        <v>444</v>
      </c>
      <c r="G205" s="5" t="s">
        <v>416</v>
      </c>
      <c r="H205" s="7">
        <v>3</v>
      </c>
      <c r="I205" s="7" t="str">
        <f t="shared" si="9"/>
        <v>Small</v>
      </c>
      <c r="J205" s="6">
        <v>80</v>
      </c>
      <c r="K205" s="6">
        <f t="shared" si="11"/>
        <v>240</v>
      </c>
      <c r="L205" s="6" t="str">
        <f t="shared" si="10"/>
        <v>Low-Ticket</v>
      </c>
      <c r="M205" s="5" t="s">
        <v>424</v>
      </c>
      <c r="N205" s="5" t="s">
        <v>428</v>
      </c>
    </row>
    <row r="206" spans="1:14" x14ac:dyDescent="0.25">
      <c r="A206" t="s">
        <v>208</v>
      </c>
      <c r="B206" s="2">
        <v>45697</v>
      </c>
      <c r="C206" t="s">
        <v>384</v>
      </c>
      <c r="D206" s="14" t="s">
        <v>437</v>
      </c>
      <c r="E206" s="5" t="s">
        <v>398</v>
      </c>
      <c r="F206" t="s">
        <v>443</v>
      </c>
      <c r="G206" s="5" t="s">
        <v>417</v>
      </c>
      <c r="H206" s="7">
        <v>4</v>
      </c>
      <c r="I206" s="7" t="str">
        <f t="shared" si="9"/>
        <v>Small</v>
      </c>
      <c r="J206" s="6">
        <v>100</v>
      </c>
      <c r="K206" s="6">
        <f t="shared" si="11"/>
        <v>400</v>
      </c>
      <c r="L206" s="6" t="str">
        <f t="shared" si="10"/>
        <v>Low-Ticket</v>
      </c>
      <c r="M206" s="5" t="s">
        <v>424</v>
      </c>
      <c r="N206" s="5" t="s">
        <v>429</v>
      </c>
    </row>
    <row r="207" spans="1:14" x14ac:dyDescent="0.25">
      <c r="A207" t="s">
        <v>123</v>
      </c>
      <c r="B207" s="2">
        <f>B203</f>
        <v>45494</v>
      </c>
      <c r="C207" t="s">
        <v>312</v>
      </c>
      <c r="D207" s="14" t="s">
        <v>440</v>
      </c>
      <c r="E207" s="5" t="s">
        <v>406</v>
      </c>
      <c r="F207" t="s">
        <v>443</v>
      </c>
      <c r="G207" s="5" t="s">
        <v>420</v>
      </c>
      <c r="H207" s="7">
        <v>1</v>
      </c>
      <c r="I207" s="7" t="str">
        <f t="shared" si="9"/>
        <v>Small</v>
      </c>
      <c r="J207" s="6">
        <v>100</v>
      </c>
      <c r="K207" s="6">
        <f t="shared" si="11"/>
        <v>100</v>
      </c>
      <c r="L207" s="6" t="str">
        <f t="shared" si="10"/>
        <v>Low-Ticket</v>
      </c>
      <c r="M207" s="5" t="s">
        <v>424</v>
      </c>
      <c r="N207" s="5" t="s">
        <v>429</v>
      </c>
    </row>
    <row r="208" spans="1:14" x14ac:dyDescent="0.25">
      <c r="G208" s="6"/>
      <c r="H208" s="5"/>
      <c r="I208" s="6"/>
      <c r="K208"/>
      <c r="L208"/>
      <c r="M208"/>
      <c r="N208"/>
    </row>
    <row r="209" spans="7:14" x14ac:dyDescent="0.25">
      <c r="G209" s="6"/>
      <c r="H209" s="5"/>
      <c r="I209" s="6"/>
      <c r="K209"/>
      <c r="L209"/>
      <c r="M209"/>
      <c r="N209"/>
    </row>
    <row r="210" spans="7:14" x14ac:dyDescent="0.25">
      <c r="G210" s="6"/>
      <c r="H210" s="5"/>
      <c r="I210" s="6"/>
      <c r="K210"/>
      <c r="L210"/>
      <c r="M210"/>
      <c r="N210"/>
    </row>
    <row r="211" spans="7:14" x14ac:dyDescent="0.25">
      <c r="G211" s="6"/>
      <c r="H211" s="5"/>
      <c r="I211" s="6"/>
      <c r="K211"/>
      <c r="L211"/>
      <c r="M211"/>
      <c r="N211"/>
    </row>
    <row r="212" spans="7:14" x14ac:dyDescent="0.25">
      <c r="I212" s="6"/>
      <c r="K212" s="5"/>
      <c r="L212" s="5"/>
      <c r="M212"/>
      <c r="N212"/>
    </row>
    <row r="213" spans="7:14" x14ac:dyDescent="0.25">
      <c r="I213" s="6"/>
      <c r="K213" s="5"/>
      <c r="L213" s="5"/>
      <c r="M213"/>
      <c r="N213"/>
    </row>
    <row r="214" spans="7:14" x14ac:dyDescent="0.25">
      <c r="I214" s="6"/>
      <c r="K214" s="5"/>
      <c r="L214" s="5"/>
      <c r="M214"/>
      <c r="N214"/>
    </row>
    <row r="215" spans="7:14" x14ac:dyDescent="0.25">
      <c r="I215" s="6"/>
      <c r="K215" s="5"/>
      <c r="L215" s="5"/>
      <c r="M215"/>
      <c r="N215"/>
    </row>
    <row r="216" spans="7:14" x14ac:dyDescent="0.25">
      <c r="I216" s="6"/>
      <c r="K216" s="5"/>
      <c r="L216" s="5"/>
      <c r="M216"/>
      <c r="N216"/>
    </row>
    <row r="217" spans="7:14" x14ac:dyDescent="0.25">
      <c r="I217" s="6"/>
      <c r="K217" s="5"/>
      <c r="L217" s="5"/>
      <c r="M217"/>
      <c r="N217"/>
    </row>
    <row r="218" spans="7:14" x14ac:dyDescent="0.25">
      <c r="I218" s="6"/>
      <c r="K218" s="5"/>
      <c r="L218" s="5"/>
      <c r="M218"/>
      <c r="N218"/>
    </row>
    <row r="219" spans="7:14" x14ac:dyDescent="0.25">
      <c r="I219" s="6"/>
      <c r="K219" s="5"/>
      <c r="L219" s="5"/>
      <c r="M219"/>
      <c r="N219"/>
    </row>
  </sheetData>
  <autoFilter ref="L1:L219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"/>
  <sheetViews>
    <sheetView topLeftCell="A18" zoomScaleNormal="100" workbookViewId="0">
      <selection activeCell="J15" sqref="J15"/>
    </sheetView>
  </sheetViews>
  <sheetFormatPr defaultRowHeight="15" x14ac:dyDescent="0.25"/>
  <cols>
    <col min="1" max="1" width="12.7109375" customWidth="1"/>
    <col min="2" max="2" width="13.28515625" customWidth="1"/>
    <col min="3" max="3" width="11.28515625" customWidth="1"/>
    <col min="4" max="4" width="12.7109375" customWidth="1"/>
    <col min="5" max="5" width="18.7109375" bestFit="1" customWidth="1"/>
    <col min="6" max="6" width="6.7109375" bestFit="1" customWidth="1"/>
    <col min="7" max="7" width="7.7109375" bestFit="1" customWidth="1"/>
    <col min="8" max="8" width="7.42578125" customWidth="1"/>
    <col min="9" max="9" width="7.7109375" bestFit="1" customWidth="1"/>
    <col min="10" max="10" width="15.7109375" customWidth="1"/>
    <col min="11" max="11" width="14.7109375" customWidth="1"/>
  </cols>
  <sheetData>
    <row r="1" spans="1:14" s="4" customFormat="1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5">
      <c r="A2" t="s">
        <v>11</v>
      </c>
      <c r="B2" s="2">
        <v>45568</v>
      </c>
      <c r="C2" t="s">
        <v>209</v>
      </c>
      <c r="D2" t="s">
        <v>434</v>
      </c>
      <c r="E2" t="s">
        <v>395</v>
      </c>
      <c r="F2" t="s">
        <v>411</v>
      </c>
      <c r="G2" t="s">
        <v>416</v>
      </c>
      <c r="H2">
        <v>5</v>
      </c>
      <c r="I2" t="s">
        <v>421</v>
      </c>
      <c r="J2" t="s">
        <v>424</v>
      </c>
      <c r="K2" t="s">
        <v>428</v>
      </c>
    </row>
    <row r="3" spans="1:14" x14ac:dyDescent="0.25">
      <c r="A3" t="s">
        <v>12</v>
      </c>
      <c r="B3" s="2">
        <v>45692</v>
      </c>
      <c r="C3" t="s">
        <v>210</v>
      </c>
      <c r="D3" t="s">
        <v>385</v>
      </c>
      <c r="E3" t="s">
        <v>396</v>
      </c>
      <c r="F3" t="s">
        <v>412</v>
      </c>
      <c r="G3" t="s">
        <v>416</v>
      </c>
      <c r="H3">
        <v>100</v>
      </c>
      <c r="I3" t="s">
        <v>422</v>
      </c>
      <c r="J3" t="s">
        <v>424</v>
      </c>
      <c r="K3" t="s">
        <v>428</v>
      </c>
    </row>
    <row r="4" spans="1:14" x14ac:dyDescent="0.25">
      <c r="A4" t="s">
        <v>13</v>
      </c>
      <c r="B4" s="2">
        <v>45616</v>
      </c>
      <c r="C4" t="s">
        <v>211</v>
      </c>
      <c r="D4" t="s">
        <v>386</v>
      </c>
      <c r="E4" t="s">
        <v>397</v>
      </c>
      <c r="F4" t="s">
        <v>411</v>
      </c>
      <c r="G4" t="s">
        <v>416</v>
      </c>
      <c r="H4">
        <v>3</v>
      </c>
      <c r="I4" t="s">
        <v>421</v>
      </c>
      <c r="J4" t="s">
        <v>425</v>
      </c>
      <c r="K4" t="s">
        <v>429</v>
      </c>
    </row>
    <row r="5" spans="1:14" x14ac:dyDescent="0.25">
      <c r="A5" t="s">
        <v>14</v>
      </c>
      <c r="B5" s="2">
        <v>45786</v>
      </c>
      <c r="C5" t="s">
        <v>212</v>
      </c>
      <c r="D5" t="s">
        <v>434</v>
      </c>
      <c r="E5" t="s">
        <v>398</v>
      </c>
      <c r="F5" t="s">
        <v>413</v>
      </c>
      <c r="G5" t="s">
        <v>417</v>
      </c>
      <c r="H5">
        <v>4</v>
      </c>
      <c r="I5">
        <v>75.5</v>
      </c>
      <c r="J5" t="s">
        <v>426</v>
      </c>
      <c r="K5" t="s">
        <v>428</v>
      </c>
    </row>
    <row r="6" spans="1:14" x14ac:dyDescent="0.25">
      <c r="A6" t="s">
        <v>15</v>
      </c>
      <c r="B6" s="2">
        <v>45638</v>
      </c>
      <c r="C6" t="s">
        <v>213</v>
      </c>
      <c r="D6" t="s">
        <v>387</v>
      </c>
      <c r="E6" t="s">
        <v>399</v>
      </c>
      <c r="F6" t="s">
        <v>412</v>
      </c>
      <c r="G6" t="s">
        <v>418</v>
      </c>
      <c r="H6">
        <v>4</v>
      </c>
      <c r="I6" t="s">
        <v>422</v>
      </c>
      <c r="J6" t="s">
        <v>425</v>
      </c>
      <c r="K6" t="s">
        <v>430</v>
      </c>
    </row>
    <row r="7" spans="1:14" x14ac:dyDescent="0.25">
      <c r="A7" t="s">
        <v>16</v>
      </c>
      <c r="B7" s="3">
        <v>45782</v>
      </c>
      <c r="C7" t="s">
        <v>214</v>
      </c>
      <c r="D7" t="s">
        <v>388</v>
      </c>
      <c r="E7" t="s">
        <v>395</v>
      </c>
      <c r="F7" t="s">
        <v>414</v>
      </c>
      <c r="G7" t="s">
        <v>418</v>
      </c>
      <c r="H7">
        <v>3</v>
      </c>
      <c r="I7" t="s">
        <v>421</v>
      </c>
      <c r="J7" t="s">
        <v>426</v>
      </c>
      <c r="K7" t="s">
        <v>430</v>
      </c>
    </row>
    <row r="8" spans="1:14" x14ac:dyDescent="0.25">
      <c r="A8" t="s">
        <v>17</v>
      </c>
      <c r="B8" s="2">
        <v>45640</v>
      </c>
      <c r="C8" t="s">
        <v>215</v>
      </c>
      <c r="D8" t="s">
        <v>387</v>
      </c>
      <c r="E8" t="s">
        <v>400</v>
      </c>
      <c r="F8" t="s">
        <v>415</v>
      </c>
      <c r="G8" t="s">
        <v>418</v>
      </c>
      <c r="H8">
        <v>5</v>
      </c>
      <c r="I8">
        <v>50</v>
      </c>
      <c r="J8" t="s">
        <v>424</v>
      </c>
      <c r="K8" t="s">
        <v>429</v>
      </c>
      <c r="N8" s="2"/>
    </row>
    <row r="9" spans="1:14" x14ac:dyDescent="0.25">
      <c r="A9" t="s">
        <v>18</v>
      </c>
      <c r="B9" s="3">
        <v>45490</v>
      </c>
      <c r="C9" t="s">
        <v>216</v>
      </c>
      <c r="D9" t="s">
        <v>389</v>
      </c>
      <c r="E9" t="s">
        <v>401</v>
      </c>
      <c r="F9" t="s">
        <v>412</v>
      </c>
      <c r="G9" t="s">
        <v>416</v>
      </c>
      <c r="H9">
        <v>5</v>
      </c>
      <c r="I9" t="s">
        <v>422</v>
      </c>
      <c r="J9" t="s">
        <v>426</v>
      </c>
      <c r="K9" t="s">
        <v>428</v>
      </c>
    </row>
    <row r="10" spans="1:14" x14ac:dyDescent="0.25">
      <c r="A10" t="s">
        <v>19</v>
      </c>
      <c r="B10" s="2">
        <v>45606</v>
      </c>
      <c r="C10" t="s">
        <v>217</v>
      </c>
      <c r="D10" t="s">
        <v>389</v>
      </c>
      <c r="E10" t="s">
        <v>402</v>
      </c>
      <c r="F10" t="s">
        <v>414</v>
      </c>
      <c r="G10" t="s">
        <v>419</v>
      </c>
      <c r="H10">
        <v>3</v>
      </c>
      <c r="I10">
        <v>50</v>
      </c>
      <c r="J10" t="s">
        <v>424</v>
      </c>
      <c r="K10" t="s">
        <v>429</v>
      </c>
    </row>
    <row r="11" spans="1:14" x14ac:dyDescent="0.25">
      <c r="A11" t="s">
        <v>20</v>
      </c>
      <c r="B11" s="2">
        <v>45445</v>
      </c>
      <c r="C11" t="s">
        <v>218</v>
      </c>
      <c r="D11" t="s">
        <v>434</v>
      </c>
      <c r="E11" t="s">
        <v>396</v>
      </c>
      <c r="F11" t="s">
        <v>413</v>
      </c>
      <c r="G11" t="s">
        <v>418</v>
      </c>
      <c r="H11">
        <v>5</v>
      </c>
      <c r="I11">
        <v>100</v>
      </c>
      <c r="J11" t="s">
        <v>426</v>
      </c>
      <c r="K11" t="s">
        <v>429</v>
      </c>
    </row>
    <row r="12" spans="1:14" x14ac:dyDescent="0.25">
      <c r="A12" t="s">
        <v>21</v>
      </c>
      <c r="B12" s="3">
        <v>45796</v>
      </c>
      <c r="D12" t="s">
        <v>390</v>
      </c>
      <c r="E12" t="s">
        <v>402</v>
      </c>
      <c r="F12" t="s">
        <v>412</v>
      </c>
      <c r="G12" t="s">
        <v>418</v>
      </c>
      <c r="H12">
        <v>100</v>
      </c>
      <c r="I12">
        <v>50</v>
      </c>
      <c r="J12" t="s">
        <v>426</v>
      </c>
      <c r="K12" t="s">
        <v>429</v>
      </c>
    </row>
    <row r="13" spans="1:14" x14ac:dyDescent="0.25">
      <c r="A13" t="s">
        <v>22</v>
      </c>
      <c r="B13" s="2">
        <v>45586</v>
      </c>
      <c r="C13" t="s">
        <v>219</v>
      </c>
      <c r="D13" t="s">
        <v>390</v>
      </c>
      <c r="E13" t="s">
        <v>401</v>
      </c>
      <c r="F13" t="s">
        <v>413</v>
      </c>
      <c r="G13" t="s">
        <v>416</v>
      </c>
      <c r="H13">
        <v>1</v>
      </c>
      <c r="I13">
        <v>75.5</v>
      </c>
      <c r="J13" t="s">
        <v>425</v>
      </c>
      <c r="K13" t="s">
        <v>429</v>
      </c>
    </row>
    <row r="14" spans="1:14" x14ac:dyDescent="0.25">
      <c r="A14" t="s">
        <v>23</v>
      </c>
      <c r="B14" s="2">
        <v>45450</v>
      </c>
      <c r="C14" t="s">
        <v>220</v>
      </c>
      <c r="D14" t="s">
        <v>391</v>
      </c>
      <c r="E14" t="s">
        <v>403</v>
      </c>
      <c r="F14" t="s">
        <v>413</v>
      </c>
      <c r="G14" t="s">
        <v>419</v>
      </c>
      <c r="H14">
        <v>2</v>
      </c>
      <c r="I14" t="s">
        <v>423</v>
      </c>
      <c r="J14" t="s">
        <v>426</v>
      </c>
      <c r="K14" t="s">
        <v>428</v>
      </c>
    </row>
    <row r="15" spans="1:14" x14ac:dyDescent="0.25">
      <c r="A15" t="s">
        <v>24</v>
      </c>
      <c r="B15" s="2">
        <v>45454</v>
      </c>
      <c r="C15" t="s">
        <v>221</v>
      </c>
      <c r="D15" t="s">
        <v>385</v>
      </c>
      <c r="E15" t="s">
        <v>396</v>
      </c>
      <c r="F15" t="s">
        <v>413</v>
      </c>
      <c r="G15" t="s">
        <v>420</v>
      </c>
      <c r="H15">
        <v>2</v>
      </c>
      <c r="I15">
        <v>100</v>
      </c>
      <c r="J15" t="s">
        <v>424</v>
      </c>
      <c r="K15" t="s">
        <v>428</v>
      </c>
    </row>
    <row r="16" spans="1:14" x14ac:dyDescent="0.25">
      <c r="A16" t="s">
        <v>25</v>
      </c>
      <c r="B16" s="2">
        <v>45675</v>
      </c>
      <c r="C16" t="s">
        <v>222</v>
      </c>
      <c r="D16" t="s">
        <v>392</v>
      </c>
      <c r="E16" t="s">
        <v>404</v>
      </c>
      <c r="F16" t="s">
        <v>413</v>
      </c>
      <c r="G16" t="s">
        <v>420</v>
      </c>
      <c r="H16">
        <v>100</v>
      </c>
      <c r="I16" t="s">
        <v>421</v>
      </c>
      <c r="J16" t="s">
        <v>427</v>
      </c>
      <c r="K16" t="s">
        <v>429</v>
      </c>
    </row>
    <row r="17" spans="1:11" x14ac:dyDescent="0.25">
      <c r="A17" t="s">
        <v>26</v>
      </c>
      <c r="B17" s="2">
        <v>45496</v>
      </c>
      <c r="C17" t="s">
        <v>223</v>
      </c>
      <c r="D17" t="s">
        <v>393</v>
      </c>
      <c r="E17" t="s">
        <v>400</v>
      </c>
      <c r="F17" t="s">
        <v>414</v>
      </c>
      <c r="G17" t="s">
        <v>418</v>
      </c>
      <c r="H17">
        <v>1</v>
      </c>
      <c r="I17" t="s">
        <v>422</v>
      </c>
      <c r="J17" t="s">
        <v>425</v>
      </c>
      <c r="K17" t="s">
        <v>428</v>
      </c>
    </row>
    <row r="18" spans="1:11" x14ac:dyDescent="0.25">
      <c r="A18" t="s">
        <v>27</v>
      </c>
      <c r="B18" s="2">
        <v>45498</v>
      </c>
      <c r="C18" t="s">
        <v>224</v>
      </c>
      <c r="D18" t="s">
        <v>390</v>
      </c>
      <c r="E18" t="s">
        <v>401</v>
      </c>
      <c r="F18" t="s">
        <v>415</v>
      </c>
      <c r="G18" t="s">
        <v>420</v>
      </c>
      <c r="H18">
        <v>2</v>
      </c>
      <c r="I18" t="s">
        <v>421</v>
      </c>
      <c r="J18" t="s">
        <v>425</v>
      </c>
      <c r="K18" t="s">
        <v>428</v>
      </c>
    </row>
    <row r="19" spans="1:11" x14ac:dyDescent="0.25">
      <c r="A19" t="s">
        <v>28</v>
      </c>
      <c r="B19" s="2">
        <v>45613</v>
      </c>
      <c r="C19" t="s">
        <v>225</v>
      </c>
      <c r="D19" t="s">
        <v>394</v>
      </c>
      <c r="E19" t="s">
        <v>405</v>
      </c>
      <c r="F19" t="s">
        <v>413</v>
      </c>
      <c r="G19" t="s">
        <v>418</v>
      </c>
      <c r="H19">
        <v>4</v>
      </c>
      <c r="I19">
        <v>75.5</v>
      </c>
      <c r="J19" t="s">
        <v>426</v>
      </c>
      <c r="K19" t="s">
        <v>428</v>
      </c>
    </row>
    <row r="20" spans="1:11" x14ac:dyDescent="0.25">
      <c r="A20" t="s">
        <v>29</v>
      </c>
      <c r="B20" s="2">
        <v>45772</v>
      </c>
      <c r="C20" t="s">
        <v>226</v>
      </c>
      <c r="D20" t="s">
        <v>390</v>
      </c>
      <c r="E20" t="s">
        <v>406</v>
      </c>
      <c r="F20" t="s">
        <v>414</v>
      </c>
      <c r="G20" t="s">
        <v>419</v>
      </c>
      <c r="H20">
        <v>3</v>
      </c>
      <c r="I20">
        <v>50</v>
      </c>
      <c r="J20" t="s">
        <v>424</v>
      </c>
      <c r="K20" t="s">
        <v>429</v>
      </c>
    </row>
    <row r="21" spans="1:11" x14ac:dyDescent="0.25">
      <c r="A21" t="s">
        <v>30</v>
      </c>
      <c r="B21" s="2">
        <v>45713</v>
      </c>
      <c r="C21" t="s">
        <v>227</v>
      </c>
      <c r="D21" t="s">
        <v>385</v>
      </c>
      <c r="E21" t="s">
        <v>398</v>
      </c>
      <c r="F21" t="s">
        <v>411</v>
      </c>
      <c r="G21" t="s">
        <v>420</v>
      </c>
      <c r="I21" t="s">
        <v>423</v>
      </c>
      <c r="J21" t="s">
        <v>424</v>
      </c>
      <c r="K21" t="s">
        <v>430</v>
      </c>
    </row>
    <row r="22" spans="1:11" x14ac:dyDescent="0.25">
      <c r="A22" t="s">
        <v>31</v>
      </c>
      <c r="B22" s="2">
        <v>45630</v>
      </c>
      <c r="C22" t="s">
        <v>228</v>
      </c>
      <c r="D22" t="s">
        <v>385</v>
      </c>
      <c r="E22" t="s">
        <v>395</v>
      </c>
      <c r="F22" t="s">
        <v>413</v>
      </c>
      <c r="G22" t="s">
        <v>418</v>
      </c>
      <c r="H22">
        <v>4</v>
      </c>
      <c r="I22">
        <v>75.5</v>
      </c>
      <c r="J22" t="s">
        <v>427</v>
      </c>
      <c r="K22" t="s">
        <v>430</v>
      </c>
    </row>
    <row r="23" spans="1:11" x14ac:dyDescent="0.25">
      <c r="A23" t="s">
        <v>32</v>
      </c>
      <c r="B23" s="2">
        <v>45581</v>
      </c>
      <c r="C23" t="s">
        <v>229</v>
      </c>
      <c r="D23" t="s">
        <v>385</v>
      </c>
      <c r="E23" t="s">
        <v>396</v>
      </c>
      <c r="F23" t="s">
        <v>411</v>
      </c>
      <c r="G23" t="s">
        <v>418</v>
      </c>
      <c r="H23">
        <v>4</v>
      </c>
      <c r="I23">
        <v>100</v>
      </c>
      <c r="J23" t="s">
        <v>427</v>
      </c>
      <c r="K23" t="s">
        <v>430</v>
      </c>
    </row>
    <row r="24" spans="1:11" x14ac:dyDescent="0.25">
      <c r="A24" t="s">
        <v>33</v>
      </c>
      <c r="B24" s="2">
        <v>45671</v>
      </c>
      <c r="C24" t="s">
        <v>230</v>
      </c>
      <c r="D24" t="s">
        <v>391</v>
      </c>
      <c r="E24" t="s">
        <v>397</v>
      </c>
      <c r="F24" t="s">
        <v>411</v>
      </c>
      <c r="G24" t="s">
        <v>418</v>
      </c>
      <c r="H24">
        <v>1</v>
      </c>
      <c r="I24">
        <v>50</v>
      </c>
      <c r="J24" t="s">
        <v>426</v>
      </c>
      <c r="K24" t="s">
        <v>430</v>
      </c>
    </row>
    <row r="25" spans="1:11" x14ac:dyDescent="0.25">
      <c r="A25" t="s">
        <v>34</v>
      </c>
      <c r="B25" s="2">
        <v>45608</v>
      </c>
      <c r="C25" t="s">
        <v>231</v>
      </c>
      <c r="D25" t="s">
        <v>391</v>
      </c>
      <c r="E25" t="s">
        <v>397</v>
      </c>
      <c r="F25" t="s">
        <v>414</v>
      </c>
      <c r="G25" t="s">
        <v>418</v>
      </c>
      <c r="H25">
        <v>5</v>
      </c>
      <c r="I25" t="s">
        <v>422</v>
      </c>
      <c r="J25" t="s">
        <v>426</v>
      </c>
      <c r="K25" t="s">
        <v>428</v>
      </c>
    </row>
    <row r="26" spans="1:11" x14ac:dyDescent="0.25">
      <c r="A26" t="s">
        <v>35</v>
      </c>
      <c r="B26" s="2">
        <v>45473</v>
      </c>
      <c r="C26" t="s">
        <v>232</v>
      </c>
      <c r="D26" t="s">
        <v>392</v>
      </c>
      <c r="E26" t="s">
        <v>404</v>
      </c>
      <c r="F26" t="s">
        <v>411</v>
      </c>
      <c r="G26" t="s">
        <v>418</v>
      </c>
      <c r="H26">
        <v>5</v>
      </c>
      <c r="I26">
        <v>100</v>
      </c>
      <c r="J26" t="s">
        <v>425</v>
      </c>
      <c r="K26" t="s">
        <v>428</v>
      </c>
    </row>
    <row r="27" spans="1:11" x14ac:dyDescent="0.25">
      <c r="A27" t="s">
        <v>36</v>
      </c>
      <c r="B27" s="2">
        <v>45674</v>
      </c>
      <c r="C27" t="s">
        <v>233</v>
      </c>
      <c r="D27" t="s">
        <v>388</v>
      </c>
      <c r="E27" t="s">
        <v>396</v>
      </c>
      <c r="F27" t="s">
        <v>415</v>
      </c>
      <c r="G27" t="s">
        <v>419</v>
      </c>
      <c r="H27">
        <v>4</v>
      </c>
      <c r="I27">
        <v>100</v>
      </c>
      <c r="J27" t="s">
        <v>424</v>
      </c>
      <c r="K27" t="s">
        <v>430</v>
      </c>
    </row>
    <row r="28" spans="1:11" x14ac:dyDescent="0.25">
      <c r="A28" t="s">
        <v>23</v>
      </c>
      <c r="B28" s="2">
        <v>45450</v>
      </c>
      <c r="C28" t="s">
        <v>220</v>
      </c>
      <c r="D28" t="s">
        <v>391</v>
      </c>
      <c r="E28" t="s">
        <v>403</v>
      </c>
      <c r="F28" t="s">
        <v>413</v>
      </c>
      <c r="G28" t="s">
        <v>419</v>
      </c>
      <c r="H28">
        <v>2</v>
      </c>
      <c r="I28" t="s">
        <v>423</v>
      </c>
      <c r="J28" t="s">
        <v>426</v>
      </c>
      <c r="K28" t="s">
        <v>428</v>
      </c>
    </row>
    <row r="29" spans="1:11" x14ac:dyDescent="0.25">
      <c r="A29" t="s">
        <v>37</v>
      </c>
      <c r="B29" s="2">
        <v>45748</v>
      </c>
      <c r="C29" t="s">
        <v>234</v>
      </c>
      <c r="D29" t="s">
        <v>388</v>
      </c>
      <c r="E29" t="s">
        <v>396</v>
      </c>
      <c r="F29" t="s">
        <v>411</v>
      </c>
      <c r="G29" t="s">
        <v>418</v>
      </c>
      <c r="H29">
        <v>4</v>
      </c>
      <c r="I29" t="s">
        <v>422</v>
      </c>
      <c r="J29" t="s">
        <v>425</v>
      </c>
      <c r="K29" t="s">
        <v>430</v>
      </c>
    </row>
    <row r="30" spans="1:11" x14ac:dyDescent="0.25">
      <c r="A30" t="s">
        <v>38</v>
      </c>
      <c r="B30" s="2">
        <v>45777</v>
      </c>
      <c r="C30" t="s">
        <v>235</v>
      </c>
      <c r="D30" t="s">
        <v>386</v>
      </c>
      <c r="E30" t="s">
        <v>397</v>
      </c>
      <c r="F30" t="s">
        <v>415</v>
      </c>
      <c r="G30" t="s">
        <v>420</v>
      </c>
      <c r="H30">
        <v>100</v>
      </c>
      <c r="I30" t="s">
        <v>423</v>
      </c>
      <c r="J30" t="s">
        <v>424</v>
      </c>
      <c r="K30" t="s">
        <v>430</v>
      </c>
    </row>
    <row r="31" spans="1:11" x14ac:dyDescent="0.25">
      <c r="A31" t="s">
        <v>39</v>
      </c>
      <c r="B31" s="2">
        <v>45745</v>
      </c>
      <c r="C31" t="s">
        <v>236</v>
      </c>
      <c r="D31" t="s">
        <v>393</v>
      </c>
      <c r="E31" t="s">
        <v>399</v>
      </c>
      <c r="F31" t="s">
        <v>413</v>
      </c>
      <c r="G31" t="s">
        <v>418</v>
      </c>
      <c r="H31">
        <v>2</v>
      </c>
      <c r="I31" t="s">
        <v>422</v>
      </c>
      <c r="J31" t="s">
        <v>424</v>
      </c>
      <c r="K31" t="s">
        <v>429</v>
      </c>
    </row>
    <row r="32" spans="1:11" x14ac:dyDescent="0.25">
      <c r="A32" t="s">
        <v>40</v>
      </c>
      <c r="B32" s="2">
        <v>45787</v>
      </c>
      <c r="C32" t="s">
        <v>237</v>
      </c>
      <c r="D32" t="s">
        <v>435</v>
      </c>
      <c r="E32" t="s">
        <v>399</v>
      </c>
      <c r="F32" t="s">
        <v>413</v>
      </c>
      <c r="G32" t="s">
        <v>416</v>
      </c>
      <c r="H32">
        <v>5</v>
      </c>
      <c r="I32" t="s">
        <v>423</v>
      </c>
      <c r="J32" t="s">
        <v>426</v>
      </c>
      <c r="K32" t="s">
        <v>429</v>
      </c>
    </row>
    <row r="33" spans="1:11" x14ac:dyDescent="0.25">
      <c r="A33" t="s">
        <v>41</v>
      </c>
      <c r="B33" s="2">
        <v>45562</v>
      </c>
      <c r="C33" t="s">
        <v>238</v>
      </c>
      <c r="D33" t="s">
        <v>394</v>
      </c>
      <c r="E33" t="s">
        <v>405</v>
      </c>
      <c r="F33" t="s">
        <v>415</v>
      </c>
      <c r="G33" t="s">
        <v>417</v>
      </c>
      <c r="H33">
        <v>3</v>
      </c>
      <c r="I33" t="s">
        <v>423</v>
      </c>
      <c r="J33" t="s">
        <v>427</v>
      </c>
      <c r="K33" t="s">
        <v>430</v>
      </c>
    </row>
    <row r="34" spans="1:11" x14ac:dyDescent="0.25">
      <c r="A34" t="s">
        <v>42</v>
      </c>
      <c r="B34" s="2">
        <v>45457</v>
      </c>
      <c r="C34" t="s">
        <v>239</v>
      </c>
      <c r="D34" t="s">
        <v>393</v>
      </c>
      <c r="E34" t="s">
        <v>399</v>
      </c>
      <c r="F34" t="s">
        <v>414</v>
      </c>
      <c r="G34" t="s">
        <v>416</v>
      </c>
      <c r="H34">
        <v>100</v>
      </c>
      <c r="I34">
        <v>100</v>
      </c>
      <c r="J34" t="s">
        <v>426</v>
      </c>
      <c r="K34" t="s">
        <v>430</v>
      </c>
    </row>
    <row r="35" spans="1:11" x14ac:dyDescent="0.25">
      <c r="A35" t="s">
        <v>43</v>
      </c>
      <c r="B35" s="2">
        <v>45537</v>
      </c>
      <c r="C35" t="s">
        <v>240</v>
      </c>
      <c r="D35" t="s">
        <v>385</v>
      </c>
      <c r="E35" t="s">
        <v>398</v>
      </c>
      <c r="F35" t="s">
        <v>413</v>
      </c>
      <c r="G35" t="s">
        <v>419</v>
      </c>
      <c r="H35">
        <v>1</v>
      </c>
      <c r="I35">
        <v>75.5</v>
      </c>
      <c r="J35" t="s">
        <v>426</v>
      </c>
      <c r="K35" t="s">
        <v>428</v>
      </c>
    </row>
    <row r="36" spans="1:11" x14ac:dyDescent="0.25">
      <c r="A36" t="s">
        <v>44</v>
      </c>
      <c r="B36" s="2">
        <v>45690</v>
      </c>
      <c r="C36" t="s">
        <v>241</v>
      </c>
      <c r="D36" t="s">
        <v>389</v>
      </c>
      <c r="E36" t="s">
        <v>401</v>
      </c>
      <c r="F36" t="s">
        <v>413</v>
      </c>
      <c r="G36" t="s">
        <v>419</v>
      </c>
      <c r="H36">
        <v>3</v>
      </c>
      <c r="I36">
        <v>100</v>
      </c>
      <c r="J36" t="s">
        <v>425</v>
      </c>
      <c r="K36" t="s">
        <v>429</v>
      </c>
    </row>
    <row r="37" spans="1:11" x14ac:dyDescent="0.25">
      <c r="A37" t="s">
        <v>45</v>
      </c>
      <c r="B37" s="2">
        <v>45700</v>
      </c>
      <c r="C37" t="s">
        <v>242</v>
      </c>
      <c r="D37" t="s">
        <v>392</v>
      </c>
      <c r="E37" t="s">
        <v>404</v>
      </c>
      <c r="F37" t="s">
        <v>411</v>
      </c>
      <c r="G37" t="s">
        <v>418</v>
      </c>
      <c r="H37">
        <v>1</v>
      </c>
      <c r="I37" t="s">
        <v>421</v>
      </c>
      <c r="J37" t="s">
        <v>425</v>
      </c>
      <c r="K37" t="s">
        <v>428</v>
      </c>
    </row>
    <row r="38" spans="1:11" x14ac:dyDescent="0.25">
      <c r="A38" t="s">
        <v>46</v>
      </c>
      <c r="B38" s="2">
        <v>45788</v>
      </c>
      <c r="C38" t="s">
        <v>243</v>
      </c>
      <c r="D38" t="s">
        <v>386</v>
      </c>
      <c r="E38" t="s">
        <v>407</v>
      </c>
      <c r="F38" t="s">
        <v>414</v>
      </c>
      <c r="G38" t="s">
        <v>416</v>
      </c>
      <c r="H38">
        <v>3</v>
      </c>
      <c r="I38">
        <v>75.5</v>
      </c>
      <c r="J38" t="s">
        <v>425</v>
      </c>
      <c r="K38" t="s">
        <v>429</v>
      </c>
    </row>
    <row r="39" spans="1:11" x14ac:dyDescent="0.25">
      <c r="A39" t="s">
        <v>47</v>
      </c>
      <c r="B39" s="3">
        <v>45528</v>
      </c>
      <c r="C39" t="s">
        <v>244</v>
      </c>
      <c r="D39" t="s">
        <v>386</v>
      </c>
      <c r="E39" t="s">
        <v>407</v>
      </c>
      <c r="F39" t="s">
        <v>412</v>
      </c>
      <c r="G39" t="s">
        <v>417</v>
      </c>
      <c r="I39">
        <v>75.5</v>
      </c>
      <c r="J39" t="s">
        <v>425</v>
      </c>
      <c r="K39" t="s">
        <v>430</v>
      </c>
    </row>
    <row r="40" spans="1:11" x14ac:dyDescent="0.25">
      <c r="A40" t="s">
        <v>48</v>
      </c>
      <c r="B40" s="2">
        <v>45554</v>
      </c>
      <c r="C40" t="s">
        <v>245</v>
      </c>
      <c r="D40" t="s">
        <v>392</v>
      </c>
      <c r="E40" t="s">
        <v>404</v>
      </c>
      <c r="F40" t="s">
        <v>414</v>
      </c>
      <c r="G40" t="s">
        <v>418</v>
      </c>
      <c r="H40">
        <v>1</v>
      </c>
      <c r="I40">
        <v>75.5</v>
      </c>
      <c r="J40" t="s">
        <v>427</v>
      </c>
      <c r="K40" t="s">
        <v>429</v>
      </c>
    </row>
    <row r="41" spans="1:11" x14ac:dyDescent="0.25">
      <c r="A41" t="s">
        <v>49</v>
      </c>
      <c r="B41" s="2">
        <v>45807</v>
      </c>
      <c r="C41" t="s">
        <v>246</v>
      </c>
      <c r="D41" t="s">
        <v>387</v>
      </c>
      <c r="E41" t="s">
        <v>408</v>
      </c>
      <c r="F41" t="s">
        <v>414</v>
      </c>
      <c r="G41" t="s">
        <v>416</v>
      </c>
      <c r="H41">
        <v>2</v>
      </c>
      <c r="I41">
        <v>100</v>
      </c>
      <c r="J41" t="s">
        <v>424</v>
      </c>
      <c r="K41" t="s">
        <v>429</v>
      </c>
    </row>
    <row r="42" spans="1:11" x14ac:dyDescent="0.25">
      <c r="A42" t="s">
        <v>50</v>
      </c>
      <c r="B42" s="2">
        <v>45803</v>
      </c>
      <c r="C42" t="s">
        <v>247</v>
      </c>
      <c r="D42" t="s">
        <v>392</v>
      </c>
      <c r="E42" t="s">
        <v>409</v>
      </c>
      <c r="F42" t="s">
        <v>413</v>
      </c>
      <c r="G42" t="s">
        <v>416</v>
      </c>
      <c r="H42">
        <v>2</v>
      </c>
      <c r="I42" t="s">
        <v>421</v>
      </c>
      <c r="J42" t="s">
        <v>427</v>
      </c>
      <c r="K42" t="s">
        <v>430</v>
      </c>
    </row>
    <row r="43" spans="1:11" x14ac:dyDescent="0.25">
      <c r="A43" t="s">
        <v>51</v>
      </c>
      <c r="B43" s="3">
        <v>45517</v>
      </c>
      <c r="C43" t="s">
        <v>248</v>
      </c>
      <c r="D43" t="s">
        <v>386</v>
      </c>
      <c r="E43" t="s">
        <v>397</v>
      </c>
      <c r="F43" t="s">
        <v>414</v>
      </c>
      <c r="G43" t="s">
        <v>416</v>
      </c>
      <c r="H43">
        <v>4</v>
      </c>
      <c r="I43">
        <v>50</v>
      </c>
      <c r="J43" t="s">
        <v>427</v>
      </c>
      <c r="K43" t="s">
        <v>428</v>
      </c>
    </row>
    <row r="44" spans="1:11" x14ac:dyDescent="0.25">
      <c r="A44" t="s">
        <v>52</v>
      </c>
      <c r="B44" s="2">
        <v>45771</v>
      </c>
      <c r="C44" t="s">
        <v>249</v>
      </c>
      <c r="D44" t="s">
        <v>390</v>
      </c>
      <c r="E44" t="s">
        <v>402</v>
      </c>
      <c r="F44" t="s">
        <v>413</v>
      </c>
      <c r="G44" t="s">
        <v>416</v>
      </c>
      <c r="H44">
        <v>100</v>
      </c>
      <c r="I44">
        <v>75.5</v>
      </c>
      <c r="J44" t="s">
        <v>425</v>
      </c>
      <c r="K44" t="s">
        <v>429</v>
      </c>
    </row>
    <row r="45" spans="1:11" x14ac:dyDescent="0.25">
      <c r="A45" t="s">
        <v>53</v>
      </c>
      <c r="B45" s="2">
        <v>45563</v>
      </c>
      <c r="C45" t="s">
        <v>250</v>
      </c>
      <c r="D45" t="s">
        <v>394</v>
      </c>
      <c r="E45" t="s">
        <v>405</v>
      </c>
      <c r="F45" t="s">
        <v>411</v>
      </c>
      <c r="G45" t="s">
        <v>416</v>
      </c>
      <c r="H45">
        <v>2</v>
      </c>
      <c r="I45" t="s">
        <v>422</v>
      </c>
      <c r="J45" t="s">
        <v>427</v>
      </c>
      <c r="K45" t="s">
        <v>430</v>
      </c>
    </row>
    <row r="46" spans="1:11" x14ac:dyDescent="0.25">
      <c r="A46" t="s">
        <v>54</v>
      </c>
      <c r="B46" s="2">
        <v>45578</v>
      </c>
      <c r="C46" t="s">
        <v>251</v>
      </c>
      <c r="D46" t="s">
        <v>390</v>
      </c>
      <c r="E46" t="s">
        <v>401</v>
      </c>
      <c r="F46" t="s">
        <v>414</v>
      </c>
      <c r="G46" t="s">
        <v>416</v>
      </c>
      <c r="H46">
        <v>2</v>
      </c>
      <c r="I46" t="s">
        <v>422</v>
      </c>
      <c r="J46" t="s">
        <v>424</v>
      </c>
      <c r="K46" t="s">
        <v>429</v>
      </c>
    </row>
    <row r="47" spans="1:11" x14ac:dyDescent="0.25">
      <c r="A47" t="s">
        <v>55</v>
      </c>
      <c r="B47" s="2">
        <v>45667</v>
      </c>
      <c r="C47" t="s">
        <v>252</v>
      </c>
      <c r="D47" t="s">
        <v>387</v>
      </c>
      <c r="E47" t="s">
        <v>400</v>
      </c>
      <c r="F47" t="s">
        <v>413</v>
      </c>
      <c r="G47" t="s">
        <v>419</v>
      </c>
      <c r="H47">
        <v>5</v>
      </c>
      <c r="I47">
        <v>50</v>
      </c>
      <c r="J47" t="s">
        <v>427</v>
      </c>
      <c r="K47" t="s">
        <v>429</v>
      </c>
    </row>
    <row r="48" spans="1:11" x14ac:dyDescent="0.25">
      <c r="A48" t="s">
        <v>56</v>
      </c>
      <c r="B48" s="2">
        <v>45743</v>
      </c>
      <c r="C48" t="s">
        <v>253</v>
      </c>
      <c r="D48" t="s">
        <v>388</v>
      </c>
      <c r="E48" t="s">
        <v>396</v>
      </c>
      <c r="F48" t="s">
        <v>414</v>
      </c>
      <c r="G48" t="s">
        <v>418</v>
      </c>
      <c r="H48">
        <v>100</v>
      </c>
      <c r="I48">
        <v>75.5</v>
      </c>
      <c r="J48" t="s">
        <v>425</v>
      </c>
      <c r="K48" t="s">
        <v>429</v>
      </c>
    </row>
    <row r="49" spans="1:11" x14ac:dyDescent="0.25">
      <c r="A49" t="s">
        <v>57</v>
      </c>
      <c r="B49" s="2">
        <v>45794</v>
      </c>
      <c r="C49" t="s">
        <v>254</v>
      </c>
      <c r="D49" t="s">
        <v>387</v>
      </c>
      <c r="E49" t="s">
        <v>408</v>
      </c>
      <c r="F49" t="s">
        <v>415</v>
      </c>
      <c r="G49" t="s">
        <v>416</v>
      </c>
      <c r="H49">
        <v>4</v>
      </c>
      <c r="I49" t="s">
        <v>421</v>
      </c>
      <c r="J49" t="s">
        <v>427</v>
      </c>
      <c r="K49" t="s">
        <v>429</v>
      </c>
    </row>
    <row r="50" spans="1:11" x14ac:dyDescent="0.25">
      <c r="A50" t="s">
        <v>58</v>
      </c>
      <c r="B50" s="2">
        <v>45779</v>
      </c>
      <c r="C50" t="s">
        <v>255</v>
      </c>
      <c r="D50" t="s">
        <v>392</v>
      </c>
      <c r="E50" t="s">
        <v>410</v>
      </c>
      <c r="F50" t="s">
        <v>415</v>
      </c>
      <c r="G50" t="s">
        <v>417</v>
      </c>
      <c r="H50">
        <v>3</v>
      </c>
      <c r="I50" t="s">
        <v>422</v>
      </c>
      <c r="J50" t="s">
        <v>424</v>
      </c>
      <c r="K50" t="s">
        <v>428</v>
      </c>
    </row>
    <row r="51" spans="1:11" x14ac:dyDescent="0.25">
      <c r="A51" t="s">
        <v>59</v>
      </c>
      <c r="B51" s="2">
        <v>45696</v>
      </c>
      <c r="C51" t="s">
        <v>256</v>
      </c>
      <c r="D51" t="s">
        <v>386</v>
      </c>
      <c r="E51" t="s">
        <v>397</v>
      </c>
      <c r="F51" t="s">
        <v>412</v>
      </c>
      <c r="G51" t="s">
        <v>417</v>
      </c>
      <c r="H51">
        <v>4</v>
      </c>
      <c r="I51" t="s">
        <v>421</v>
      </c>
      <c r="J51" t="s">
        <v>427</v>
      </c>
      <c r="K51" t="s">
        <v>428</v>
      </c>
    </row>
    <row r="52" spans="1:11" x14ac:dyDescent="0.25">
      <c r="A52" t="s">
        <v>60</v>
      </c>
      <c r="B52" s="2">
        <v>45454</v>
      </c>
      <c r="C52" t="s">
        <v>257</v>
      </c>
      <c r="D52" t="s">
        <v>394</v>
      </c>
      <c r="E52" t="s">
        <v>409</v>
      </c>
      <c r="F52" t="s">
        <v>414</v>
      </c>
      <c r="G52" t="s">
        <v>420</v>
      </c>
      <c r="H52">
        <v>5</v>
      </c>
      <c r="I52" t="s">
        <v>423</v>
      </c>
      <c r="J52" t="s">
        <v>425</v>
      </c>
      <c r="K52" t="s">
        <v>429</v>
      </c>
    </row>
    <row r="53" spans="1:11" x14ac:dyDescent="0.25">
      <c r="A53" t="s">
        <v>61</v>
      </c>
      <c r="B53" s="2">
        <v>45694</v>
      </c>
      <c r="C53" t="s">
        <v>258</v>
      </c>
      <c r="D53" t="s">
        <v>385</v>
      </c>
      <c r="E53" t="s">
        <v>398</v>
      </c>
      <c r="F53" t="s">
        <v>414</v>
      </c>
      <c r="G53" t="s">
        <v>416</v>
      </c>
      <c r="H53">
        <v>100</v>
      </c>
      <c r="I53">
        <v>100</v>
      </c>
      <c r="J53" t="s">
        <v>424</v>
      </c>
      <c r="K53" t="s">
        <v>429</v>
      </c>
    </row>
    <row r="54" spans="1:11" x14ac:dyDescent="0.25">
      <c r="A54" t="s">
        <v>62</v>
      </c>
      <c r="B54" s="2">
        <v>45674</v>
      </c>
      <c r="C54" t="s">
        <v>259</v>
      </c>
      <c r="D54" t="s">
        <v>388</v>
      </c>
      <c r="E54" t="s">
        <v>396</v>
      </c>
      <c r="F54" t="s">
        <v>415</v>
      </c>
      <c r="G54" t="s">
        <v>417</v>
      </c>
      <c r="H54">
        <v>100</v>
      </c>
      <c r="I54">
        <v>100</v>
      </c>
      <c r="J54" t="s">
        <v>424</v>
      </c>
      <c r="K54" t="s">
        <v>429</v>
      </c>
    </row>
    <row r="55" spans="1:11" x14ac:dyDescent="0.25">
      <c r="A55" t="s">
        <v>63</v>
      </c>
      <c r="B55" s="2">
        <v>45763</v>
      </c>
      <c r="C55" t="s">
        <v>260</v>
      </c>
      <c r="D55" t="s">
        <v>388</v>
      </c>
      <c r="E55" t="s">
        <v>396</v>
      </c>
      <c r="F55" t="s">
        <v>412</v>
      </c>
      <c r="G55" t="s">
        <v>420</v>
      </c>
      <c r="H55">
        <v>3</v>
      </c>
      <c r="I55" t="s">
        <v>422</v>
      </c>
      <c r="J55" t="s">
        <v>427</v>
      </c>
      <c r="K55" t="s">
        <v>428</v>
      </c>
    </row>
    <row r="56" spans="1:11" x14ac:dyDescent="0.25">
      <c r="A56" t="s">
        <v>64</v>
      </c>
      <c r="B56" s="2">
        <v>45754</v>
      </c>
      <c r="C56" t="s">
        <v>261</v>
      </c>
      <c r="D56" t="s">
        <v>385</v>
      </c>
      <c r="E56" t="s">
        <v>395</v>
      </c>
      <c r="F56" t="s">
        <v>411</v>
      </c>
      <c r="G56" t="s">
        <v>417</v>
      </c>
      <c r="H56">
        <v>5</v>
      </c>
      <c r="I56">
        <v>50</v>
      </c>
      <c r="J56" t="s">
        <v>426</v>
      </c>
      <c r="K56" t="s">
        <v>430</v>
      </c>
    </row>
    <row r="57" spans="1:11" x14ac:dyDescent="0.25">
      <c r="A57" t="s">
        <v>29</v>
      </c>
      <c r="B57" s="2">
        <v>45772</v>
      </c>
      <c r="C57" t="s">
        <v>226</v>
      </c>
      <c r="D57" t="s">
        <v>390</v>
      </c>
      <c r="E57" t="s">
        <v>406</v>
      </c>
      <c r="F57" t="s">
        <v>414</v>
      </c>
      <c r="G57" t="s">
        <v>419</v>
      </c>
      <c r="H57">
        <v>3</v>
      </c>
      <c r="I57">
        <v>50</v>
      </c>
      <c r="J57" t="s">
        <v>424</v>
      </c>
      <c r="K57" t="s">
        <v>429</v>
      </c>
    </row>
    <row r="58" spans="1:11" x14ac:dyDescent="0.25">
      <c r="A58" t="s">
        <v>65</v>
      </c>
      <c r="B58" s="2">
        <v>45514</v>
      </c>
      <c r="C58" t="s">
        <v>262</v>
      </c>
      <c r="D58" t="s">
        <v>385</v>
      </c>
      <c r="E58" t="s">
        <v>398</v>
      </c>
      <c r="F58" t="s">
        <v>412</v>
      </c>
      <c r="G58" t="s">
        <v>417</v>
      </c>
      <c r="H58">
        <v>100</v>
      </c>
      <c r="I58">
        <v>75.5</v>
      </c>
      <c r="J58" t="s">
        <v>426</v>
      </c>
      <c r="K58" t="s">
        <v>429</v>
      </c>
    </row>
    <row r="59" spans="1:11" x14ac:dyDescent="0.25">
      <c r="A59" t="s">
        <v>66</v>
      </c>
      <c r="B59" s="2">
        <v>45761</v>
      </c>
      <c r="C59" t="s">
        <v>263</v>
      </c>
      <c r="D59" t="s">
        <v>389</v>
      </c>
      <c r="E59" t="s">
        <v>406</v>
      </c>
      <c r="F59" t="s">
        <v>411</v>
      </c>
      <c r="G59" t="s">
        <v>416</v>
      </c>
      <c r="H59">
        <v>4</v>
      </c>
      <c r="I59">
        <v>50</v>
      </c>
      <c r="J59" t="s">
        <v>427</v>
      </c>
      <c r="K59" t="s">
        <v>428</v>
      </c>
    </row>
    <row r="60" spans="1:11" x14ac:dyDescent="0.25">
      <c r="A60" t="s">
        <v>67</v>
      </c>
      <c r="B60" s="2">
        <v>45474</v>
      </c>
      <c r="C60" t="s">
        <v>264</v>
      </c>
      <c r="D60" t="s">
        <v>393</v>
      </c>
      <c r="E60" t="s">
        <v>400</v>
      </c>
      <c r="F60" t="s">
        <v>411</v>
      </c>
      <c r="G60" t="s">
        <v>418</v>
      </c>
      <c r="H60">
        <v>100</v>
      </c>
      <c r="I60" t="s">
        <v>423</v>
      </c>
      <c r="J60" t="s">
        <v>424</v>
      </c>
      <c r="K60" t="s">
        <v>428</v>
      </c>
    </row>
    <row r="61" spans="1:11" x14ac:dyDescent="0.25">
      <c r="A61" t="s">
        <v>68</v>
      </c>
      <c r="B61" s="2">
        <v>45745</v>
      </c>
      <c r="C61" t="s">
        <v>265</v>
      </c>
      <c r="D61" t="s">
        <v>386</v>
      </c>
      <c r="E61" t="s">
        <v>407</v>
      </c>
      <c r="F61" t="s">
        <v>411</v>
      </c>
      <c r="G61" t="s">
        <v>419</v>
      </c>
      <c r="H61">
        <v>5</v>
      </c>
      <c r="I61" t="s">
        <v>423</v>
      </c>
      <c r="J61" t="s">
        <v>425</v>
      </c>
      <c r="K61" t="s">
        <v>430</v>
      </c>
    </row>
    <row r="62" spans="1:11" x14ac:dyDescent="0.25">
      <c r="A62" t="s">
        <v>69</v>
      </c>
      <c r="B62" s="2">
        <v>45656</v>
      </c>
      <c r="C62" t="s">
        <v>266</v>
      </c>
      <c r="D62" t="s">
        <v>391</v>
      </c>
      <c r="E62" t="s">
        <v>407</v>
      </c>
      <c r="F62" t="s">
        <v>411</v>
      </c>
      <c r="G62" t="s">
        <v>419</v>
      </c>
      <c r="H62">
        <v>1</v>
      </c>
      <c r="I62" t="s">
        <v>423</v>
      </c>
      <c r="J62" t="s">
        <v>427</v>
      </c>
      <c r="K62" t="s">
        <v>429</v>
      </c>
    </row>
    <row r="63" spans="1:11" x14ac:dyDescent="0.25">
      <c r="A63" t="s">
        <v>70</v>
      </c>
      <c r="B63" s="2">
        <v>45548</v>
      </c>
      <c r="C63" t="s">
        <v>267</v>
      </c>
      <c r="D63" t="s">
        <v>387</v>
      </c>
      <c r="E63" t="s">
        <v>399</v>
      </c>
      <c r="F63" t="s">
        <v>411</v>
      </c>
      <c r="G63" t="s">
        <v>417</v>
      </c>
      <c r="H63">
        <v>4</v>
      </c>
      <c r="I63" t="s">
        <v>422</v>
      </c>
      <c r="J63" t="s">
        <v>427</v>
      </c>
      <c r="K63" t="s">
        <v>430</v>
      </c>
    </row>
    <row r="64" spans="1:11" x14ac:dyDescent="0.25">
      <c r="A64" t="s">
        <v>71</v>
      </c>
      <c r="B64" s="2">
        <v>45766</v>
      </c>
      <c r="C64" t="s">
        <v>268</v>
      </c>
      <c r="D64" t="s">
        <v>385</v>
      </c>
      <c r="E64" t="s">
        <v>395</v>
      </c>
      <c r="F64" t="s">
        <v>413</v>
      </c>
      <c r="G64" t="s">
        <v>420</v>
      </c>
      <c r="H64">
        <v>4</v>
      </c>
      <c r="I64">
        <v>100</v>
      </c>
      <c r="J64" t="s">
        <v>424</v>
      </c>
      <c r="K64" t="s">
        <v>428</v>
      </c>
    </row>
    <row r="65" spans="1:11" x14ac:dyDescent="0.25">
      <c r="A65" t="s">
        <v>72</v>
      </c>
      <c r="B65" s="2">
        <v>45741</v>
      </c>
      <c r="C65" t="s">
        <v>269</v>
      </c>
      <c r="D65" t="s">
        <v>385</v>
      </c>
      <c r="E65" t="s">
        <v>398</v>
      </c>
      <c r="F65" t="s">
        <v>412</v>
      </c>
      <c r="G65" t="s">
        <v>420</v>
      </c>
      <c r="H65">
        <v>4</v>
      </c>
      <c r="I65">
        <v>100</v>
      </c>
      <c r="J65" t="s">
        <v>427</v>
      </c>
      <c r="K65" t="s">
        <v>428</v>
      </c>
    </row>
    <row r="66" spans="1:11" x14ac:dyDescent="0.25">
      <c r="A66" t="s">
        <v>73</v>
      </c>
      <c r="B66" s="2">
        <v>45643</v>
      </c>
      <c r="C66" t="s">
        <v>270</v>
      </c>
      <c r="D66" t="s">
        <v>393</v>
      </c>
      <c r="E66" t="s">
        <v>408</v>
      </c>
      <c r="F66" t="s">
        <v>415</v>
      </c>
      <c r="G66" t="s">
        <v>416</v>
      </c>
      <c r="H66">
        <v>1</v>
      </c>
      <c r="I66">
        <v>100</v>
      </c>
      <c r="J66" t="s">
        <v>427</v>
      </c>
      <c r="K66" t="s">
        <v>428</v>
      </c>
    </row>
    <row r="67" spans="1:11" x14ac:dyDescent="0.25">
      <c r="A67" t="s">
        <v>74</v>
      </c>
      <c r="B67" s="2">
        <v>45449</v>
      </c>
      <c r="C67" t="s">
        <v>271</v>
      </c>
      <c r="D67" t="s">
        <v>386</v>
      </c>
      <c r="E67" t="s">
        <v>407</v>
      </c>
      <c r="F67" t="s">
        <v>415</v>
      </c>
      <c r="G67" t="s">
        <v>418</v>
      </c>
      <c r="H67">
        <v>2</v>
      </c>
      <c r="I67" t="s">
        <v>423</v>
      </c>
      <c r="J67" t="s">
        <v>426</v>
      </c>
      <c r="K67" t="s">
        <v>429</v>
      </c>
    </row>
    <row r="68" spans="1:11" x14ac:dyDescent="0.25">
      <c r="A68" t="s">
        <v>75</v>
      </c>
      <c r="B68" s="2">
        <v>45666</v>
      </c>
      <c r="C68" t="s">
        <v>272</v>
      </c>
      <c r="D68" t="s">
        <v>391</v>
      </c>
      <c r="E68" t="s">
        <v>403</v>
      </c>
      <c r="F68" t="s">
        <v>411</v>
      </c>
      <c r="G68" t="s">
        <v>416</v>
      </c>
      <c r="H68">
        <v>4</v>
      </c>
      <c r="I68" t="s">
        <v>423</v>
      </c>
      <c r="J68" t="s">
        <v>427</v>
      </c>
      <c r="K68" t="s">
        <v>428</v>
      </c>
    </row>
    <row r="69" spans="1:11" x14ac:dyDescent="0.25">
      <c r="A69" t="s">
        <v>76</v>
      </c>
      <c r="B69" s="2">
        <v>45675</v>
      </c>
      <c r="C69" t="s">
        <v>273</v>
      </c>
      <c r="D69" t="s">
        <v>387</v>
      </c>
      <c r="E69" t="s">
        <v>400</v>
      </c>
      <c r="F69" t="s">
        <v>414</v>
      </c>
      <c r="G69" t="s">
        <v>419</v>
      </c>
      <c r="I69" t="s">
        <v>423</v>
      </c>
      <c r="J69" t="s">
        <v>427</v>
      </c>
      <c r="K69" t="s">
        <v>428</v>
      </c>
    </row>
    <row r="70" spans="1:11" x14ac:dyDescent="0.25">
      <c r="A70" t="s">
        <v>77</v>
      </c>
      <c r="B70" s="2">
        <v>45786</v>
      </c>
      <c r="C70" t="s">
        <v>274</v>
      </c>
      <c r="D70" t="s">
        <v>391</v>
      </c>
      <c r="E70" t="s">
        <v>403</v>
      </c>
      <c r="F70" t="s">
        <v>415</v>
      </c>
      <c r="G70" t="s">
        <v>420</v>
      </c>
      <c r="H70">
        <v>4</v>
      </c>
      <c r="I70">
        <v>100</v>
      </c>
      <c r="J70" t="s">
        <v>427</v>
      </c>
      <c r="K70" t="s">
        <v>429</v>
      </c>
    </row>
    <row r="71" spans="1:11" x14ac:dyDescent="0.25">
      <c r="A71" t="s">
        <v>78</v>
      </c>
      <c r="B71" s="2">
        <v>45742</v>
      </c>
      <c r="C71" t="s">
        <v>275</v>
      </c>
      <c r="D71" t="s">
        <v>393</v>
      </c>
      <c r="E71" t="s">
        <v>400</v>
      </c>
      <c r="F71" t="s">
        <v>415</v>
      </c>
      <c r="G71" t="s">
        <v>420</v>
      </c>
      <c r="H71">
        <v>2</v>
      </c>
      <c r="I71">
        <v>50</v>
      </c>
      <c r="J71" t="s">
        <v>427</v>
      </c>
      <c r="K71" t="s">
        <v>430</v>
      </c>
    </row>
    <row r="72" spans="1:11" x14ac:dyDescent="0.25">
      <c r="A72" t="s">
        <v>79</v>
      </c>
      <c r="B72" s="2">
        <v>45642</v>
      </c>
      <c r="C72" t="s">
        <v>276</v>
      </c>
      <c r="D72" t="s">
        <v>387</v>
      </c>
      <c r="E72" t="s">
        <v>399</v>
      </c>
      <c r="F72" t="s">
        <v>413</v>
      </c>
      <c r="G72" t="s">
        <v>416</v>
      </c>
      <c r="H72">
        <v>4</v>
      </c>
      <c r="I72" t="s">
        <v>421</v>
      </c>
      <c r="J72" t="s">
        <v>427</v>
      </c>
      <c r="K72" t="s">
        <v>428</v>
      </c>
    </row>
    <row r="73" spans="1:11" x14ac:dyDescent="0.25">
      <c r="A73" t="s">
        <v>80</v>
      </c>
      <c r="B73" s="2">
        <v>45552</v>
      </c>
      <c r="C73" t="s">
        <v>277</v>
      </c>
      <c r="D73" t="s">
        <v>387</v>
      </c>
      <c r="E73" t="s">
        <v>399</v>
      </c>
      <c r="F73" t="s">
        <v>413</v>
      </c>
      <c r="G73" t="s">
        <v>420</v>
      </c>
      <c r="H73">
        <v>2</v>
      </c>
      <c r="I73" t="s">
        <v>421</v>
      </c>
      <c r="J73" t="s">
        <v>425</v>
      </c>
      <c r="K73" t="s">
        <v>429</v>
      </c>
    </row>
    <row r="74" spans="1:11" x14ac:dyDescent="0.25">
      <c r="A74" t="s">
        <v>81</v>
      </c>
      <c r="B74" s="2">
        <v>45496</v>
      </c>
      <c r="C74" t="s">
        <v>278</v>
      </c>
      <c r="D74" t="s">
        <v>393</v>
      </c>
      <c r="E74" t="s">
        <v>400</v>
      </c>
      <c r="F74" t="s">
        <v>413</v>
      </c>
      <c r="G74" t="s">
        <v>419</v>
      </c>
      <c r="H74">
        <v>5</v>
      </c>
      <c r="I74" t="s">
        <v>421</v>
      </c>
      <c r="J74" t="s">
        <v>426</v>
      </c>
      <c r="K74" t="s">
        <v>429</v>
      </c>
    </row>
    <row r="75" spans="1:11" x14ac:dyDescent="0.25">
      <c r="A75" t="s">
        <v>82</v>
      </c>
      <c r="B75" s="2">
        <v>45802</v>
      </c>
      <c r="C75" t="s">
        <v>279</v>
      </c>
      <c r="D75" t="s">
        <v>392</v>
      </c>
      <c r="E75" t="s">
        <v>409</v>
      </c>
      <c r="F75" t="s">
        <v>413</v>
      </c>
      <c r="G75" t="s">
        <v>416</v>
      </c>
      <c r="H75">
        <v>3</v>
      </c>
      <c r="I75">
        <v>50</v>
      </c>
      <c r="J75" t="s">
        <v>427</v>
      </c>
      <c r="K75" t="s">
        <v>430</v>
      </c>
    </row>
    <row r="76" spans="1:11" x14ac:dyDescent="0.25">
      <c r="A76" t="s">
        <v>83</v>
      </c>
      <c r="B76" s="2">
        <v>45457</v>
      </c>
      <c r="C76" t="s">
        <v>280</v>
      </c>
      <c r="D76" t="s">
        <v>391</v>
      </c>
      <c r="E76" t="s">
        <v>407</v>
      </c>
      <c r="F76" t="s">
        <v>411</v>
      </c>
      <c r="G76" t="s">
        <v>416</v>
      </c>
      <c r="H76">
        <v>100</v>
      </c>
      <c r="I76" t="s">
        <v>422</v>
      </c>
      <c r="J76" t="s">
        <v>427</v>
      </c>
      <c r="K76" t="s">
        <v>428</v>
      </c>
    </row>
    <row r="77" spans="1:11" x14ac:dyDescent="0.25">
      <c r="A77" t="s">
        <v>84</v>
      </c>
      <c r="B77" s="2">
        <v>45644</v>
      </c>
      <c r="C77" t="s">
        <v>281</v>
      </c>
      <c r="D77" t="s">
        <v>388</v>
      </c>
      <c r="E77" t="s">
        <v>395</v>
      </c>
      <c r="F77" t="s">
        <v>411</v>
      </c>
      <c r="G77" t="s">
        <v>417</v>
      </c>
      <c r="H77">
        <v>1</v>
      </c>
      <c r="I77">
        <v>75.5</v>
      </c>
      <c r="J77" t="s">
        <v>427</v>
      </c>
      <c r="K77" t="s">
        <v>429</v>
      </c>
    </row>
    <row r="78" spans="1:11" x14ac:dyDescent="0.25">
      <c r="A78" t="s">
        <v>85</v>
      </c>
      <c r="B78" s="2">
        <v>45753</v>
      </c>
      <c r="C78" t="s">
        <v>282</v>
      </c>
      <c r="D78" t="s">
        <v>391</v>
      </c>
      <c r="E78" t="s">
        <v>397</v>
      </c>
      <c r="F78" t="s">
        <v>414</v>
      </c>
      <c r="G78" t="s">
        <v>419</v>
      </c>
      <c r="H78">
        <v>1</v>
      </c>
      <c r="I78">
        <v>50</v>
      </c>
      <c r="J78" t="s">
        <v>425</v>
      </c>
      <c r="K78" t="s">
        <v>429</v>
      </c>
    </row>
    <row r="79" spans="1:11" x14ac:dyDescent="0.25">
      <c r="A79" t="s">
        <v>86</v>
      </c>
      <c r="B79" s="2">
        <v>45462</v>
      </c>
      <c r="C79" t="s">
        <v>283</v>
      </c>
      <c r="D79" t="s">
        <v>388</v>
      </c>
      <c r="E79" t="s">
        <v>395</v>
      </c>
      <c r="F79" t="s">
        <v>415</v>
      </c>
      <c r="G79" t="s">
        <v>418</v>
      </c>
      <c r="H79">
        <v>5</v>
      </c>
      <c r="I79">
        <v>50</v>
      </c>
      <c r="J79" t="s">
        <v>425</v>
      </c>
      <c r="K79" t="s">
        <v>429</v>
      </c>
    </row>
    <row r="80" spans="1:11" x14ac:dyDescent="0.25">
      <c r="A80" t="s">
        <v>87</v>
      </c>
      <c r="B80" s="2">
        <v>45694</v>
      </c>
      <c r="C80" t="s">
        <v>284</v>
      </c>
      <c r="D80" t="s">
        <v>385</v>
      </c>
      <c r="E80" t="s">
        <v>396</v>
      </c>
      <c r="F80" t="s">
        <v>413</v>
      </c>
      <c r="G80" t="s">
        <v>420</v>
      </c>
      <c r="H80">
        <v>5</v>
      </c>
      <c r="I80">
        <v>100</v>
      </c>
      <c r="J80" t="s">
        <v>425</v>
      </c>
      <c r="K80" t="s">
        <v>430</v>
      </c>
    </row>
    <row r="81" spans="1:11" x14ac:dyDescent="0.25">
      <c r="A81" t="s">
        <v>88</v>
      </c>
      <c r="B81" s="2">
        <v>45680</v>
      </c>
      <c r="C81" t="s">
        <v>285</v>
      </c>
      <c r="D81" t="s">
        <v>385</v>
      </c>
      <c r="E81" t="s">
        <v>395</v>
      </c>
      <c r="F81" t="s">
        <v>415</v>
      </c>
      <c r="G81" t="s">
        <v>419</v>
      </c>
      <c r="H81">
        <v>5</v>
      </c>
      <c r="I81" t="s">
        <v>421</v>
      </c>
      <c r="J81" t="s">
        <v>426</v>
      </c>
      <c r="K81" t="s">
        <v>430</v>
      </c>
    </row>
    <row r="82" spans="1:11" x14ac:dyDescent="0.25">
      <c r="A82" t="s">
        <v>89</v>
      </c>
      <c r="B82" s="2">
        <v>45446</v>
      </c>
      <c r="C82" t="s">
        <v>212</v>
      </c>
      <c r="D82" t="s">
        <v>390</v>
      </c>
      <c r="E82" t="s">
        <v>402</v>
      </c>
      <c r="F82" t="s">
        <v>415</v>
      </c>
      <c r="G82" t="s">
        <v>418</v>
      </c>
      <c r="H82">
        <v>1</v>
      </c>
      <c r="I82" t="s">
        <v>421</v>
      </c>
      <c r="J82" t="s">
        <v>424</v>
      </c>
      <c r="K82" t="s">
        <v>428</v>
      </c>
    </row>
    <row r="83" spans="1:11" x14ac:dyDescent="0.25">
      <c r="A83" t="s">
        <v>90</v>
      </c>
      <c r="B83" s="2">
        <v>45539</v>
      </c>
      <c r="C83" t="s">
        <v>286</v>
      </c>
      <c r="D83" t="s">
        <v>391</v>
      </c>
      <c r="E83" t="s">
        <v>397</v>
      </c>
      <c r="F83" t="s">
        <v>414</v>
      </c>
      <c r="G83" t="s">
        <v>417</v>
      </c>
      <c r="H83">
        <v>4</v>
      </c>
      <c r="I83" t="s">
        <v>422</v>
      </c>
      <c r="J83" t="s">
        <v>425</v>
      </c>
      <c r="K83" t="s">
        <v>428</v>
      </c>
    </row>
    <row r="84" spans="1:11" x14ac:dyDescent="0.25">
      <c r="A84" t="s">
        <v>91</v>
      </c>
      <c r="B84" s="2">
        <v>45736</v>
      </c>
      <c r="C84" t="s">
        <v>287</v>
      </c>
      <c r="D84" t="s">
        <v>388</v>
      </c>
      <c r="E84" t="s">
        <v>398</v>
      </c>
      <c r="F84" t="s">
        <v>415</v>
      </c>
      <c r="G84" t="s">
        <v>417</v>
      </c>
      <c r="H84">
        <v>2</v>
      </c>
      <c r="I84" t="s">
        <v>421</v>
      </c>
      <c r="J84" t="s">
        <v>424</v>
      </c>
      <c r="K84" t="s">
        <v>428</v>
      </c>
    </row>
    <row r="85" spans="1:11" x14ac:dyDescent="0.25">
      <c r="A85" t="s">
        <v>92</v>
      </c>
      <c r="B85" s="2">
        <v>45450</v>
      </c>
      <c r="C85" t="s">
        <v>219</v>
      </c>
      <c r="D85" t="s">
        <v>386</v>
      </c>
      <c r="E85" t="s">
        <v>407</v>
      </c>
      <c r="F85" t="s">
        <v>415</v>
      </c>
      <c r="G85" t="s">
        <v>419</v>
      </c>
      <c r="H85">
        <v>1</v>
      </c>
      <c r="I85" t="s">
        <v>423</v>
      </c>
      <c r="J85" t="s">
        <v>427</v>
      </c>
      <c r="K85" t="s">
        <v>430</v>
      </c>
    </row>
    <row r="86" spans="1:11" x14ac:dyDescent="0.25">
      <c r="A86" t="s">
        <v>93</v>
      </c>
      <c r="B86" s="2">
        <v>45649</v>
      </c>
      <c r="C86" t="s">
        <v>288</v>
      </c>
      <c r="D86" t="s">
        <v>391</v>
      </c>
      <c r="E86" t="s">
        <v>397</v>
      </c>
      <c r="F86" t="s">
        <v>411</v>
      </c>
      <c r="G86" t="s">
        <v>420</v>
      </c>
      <c r="H86">
        <v>100</v>
      </c>
      <c r="I86">
        <v>100</v>
      </c>
      <c r="J86" t="s">
        <v>425</v>
      </c>
      <c r="K86" t="s">
        <v>430</v>
      </c>
    </row>
    <row r="87" spans="1:11" x14ac:dyDescent="0.25">
      <c r="A87" t="s">
        <v>94</v>
      </c>
      <c r="B87" s="2">
        <v>45607</v>
      </c>
      <c r="C87" t="s">
        <v>289</v>
      </c>
      <c r="D87" t="s">
        <v>385</v>
      </c>
      <c r="E87" t="s">
        <v>398</v>
      </c>
      <c r="F87" t="s">
        <v>413</v>
      </c>
      <c r="G87" t="s">
        <v>417</v>
      </c>
      <c r="H87">
        <v>3</v>
      </c>
      <c r="I87" t="s">
        <v>421</v>
      </c>
      <c r="J87" t="s">
        <v>427</v>
      </c>
      <c r="K87" t="s">
        <v>429</v>
      </c>
    </row>
    <row r="88" spans="1:11" x14ac:dyDescent="0.25">
      <c r="A88" t="s">
        <v>95</v>
      </c>
      <c r="B88" s="2">
        <v>45537</v>
      </c>
      <c r="C88" t="s">
        <v>290</v>
      </c>
      <c r="D88" t="s">
        <v>393</v>
      </c>
      <c r="E88" t="s">
        <v>399</v>
      </c>
      <c r="F88" t="s">
        <v>412</v>
      </c>
      <c r="G88" t="s">
        <v>417</v>
      </c>
      <c r="H88">
        <v>4</v>
      </c>
      <c r="I88" t="s">
        <v>423</v>
      </c>
      <c r="J88" t="s">
        <v>426</v>
      </c>
      <c r="K88" t="s">
        <v>430</v>
      </c>
    </row>
    <row r="89" spans="1:11" x14ac:dyDescent="0.25">
      <c r="A89" t="s">
        <v>96</v>
      </c>
      <c r="B89" s="2">
        <v>45489</v>
      </c>
      <c r="D89" t="s">
        <v>388</v>
      </c>
      <c r="E89" t="s">
        <v>396</v>
      </c>
      <c r="F89" t="s">
        <v>413</v>
      </c>
      <c r="G89" t="s">
        <v>416</v>
      </c>
      <c r="H89">
        <v>1</v>
      </c>
      <c r="I89">
        <v>100</v>
      </c>
      <c r="J89" t="s">
        <v>427</v>
      </c>
      <c r="K89" t="s">
        <v>430</v>
      </c>
    </row>
    <row r="90" spans="1:11" x14ac:dyDescent="0.25">
      <c r="A90" t="s">
        <v>97</v>
      </c>
      <c r="B90" s="2">
        <v>45727</v>
      </c>
      <c r="C90" t="s">
        <v>291</v>
      </c>
      <c r="D90" t="s">
        <v>393</v>
      </c>
      <c r="E90" t="s">
        <v>408</v>
      </c>
      <c r="F90" t="s">
        <v>411</v>
      </c>
      <c r="G90" t="s">
        <v>416</v>
      </c>
      <c r="H90">
        <v>2</v>
      </c>
      <c r="I90">
        <v>75.5</v>
      </c>
      <c r="J90" t="s">
        <v>427</v>
      </c>
      <c r="K90" t="s">
        <v>428</v>
      </c>
    </row>
    <row r="91" spans="1:11" x14ac:dyDescent="0.25">
      <c r="A91" t="s">
        <v>98</v>
      </c>
      <c r="B91" s="2">
        <v>45652</v>
      </c>
      <c r="C91" t="s">
        <v>292</v>
      </c>
      <c r="D91" t="s">
        <v>391</v>
      </c>
      <c r="E91" t="s">
        <v>397</v>
      </c>
      <c r="F91" t="s">
        <v>413</v>
      </c>
      <c r="G91" t="s">
        <v>417</v>
      </c>
      <c r="H91">
        <v>4</v>
      </c>
      <c r="I91" t="s">
        <v>422</v>
      </c>
      <c r="J91" t="s">
        <v>426</v>
      </c>
      <c r="K91" t="s">
        <v>428</v>
      </c>
    </row>
    <row r="92" spans="1:11" x14ac:dyDescent="0.25">
      <c r="A92" t="s">
        <v>99</v>
      </c>
      <c r="B92" s="2">
        <v>45630</v>
      </c>
      <c r="C92" t="s">
        <v>293</v>
      </c>
      <c r="D92" t="s">
        <v>385</v>
      </c>
      <c r="E92" t="s">
        <v>396</v>
      </c>
      <c r="F92" t="s">
        <v>413</v>
      </c>
      <c r="G92" t="s">
        <v>417</v>
      </c>
      <c r="H92">
        <v>1</v>
      </c>
      <c r="I92" t="s">
        <v>421</v>
      </c>
      <c r="J92" t="s">
        <v>425</v>
      </c>
      <c r="K92" t="s">
        <v>428</v>
      </c>
    </row>
    <row r="93" spans="1:11" x14ac:dyDescent="0.25">
      <c r="A93" t="s">
        <v>100</v>
      </c>
      <c r="B93" s="2">
        <v>45783</v>
      </c>
      <c r="C93" t="s">
        <v>294</v>
      </c>
      <c r="D93" t="s">
        <v>392</v>
      </c>
      <c r="E93" t="s">
        <v>404</v>
      </c>
      <c r="F93" t="s">
        <v>413</v>
      </c>
      <c r="G93" t="s">
        <v>418</v>
      </c>
      <c r="H93">
        <v>4</v>
      </c>
      <c r="I93">
        <v>100</v>
      </c>
      <c r="J93" t="s">
        <v>426</v>
      </c>
      <c r="K93" t="s">
        <v>428</v>
      </c>
    </row>
    <row r="94" spans="1:11" x14ac:dyDescent="0.25">
      <c r="A94" t="s">
        <v>101</v>
      </c>
      <c r="B94" s="2">
        <v>45631</v>
      </c>
      <c r="C94" t="s">
        <v>295</v>
      </c>
      <c r="D94" t="s">
        <v>386</v>
      </c>
      <c r="E94" t="s">
        <v>407</v>
      </c>
      <c r="F94" t="s">
        <v>412</v>
      </c>
      <c r="G94" t="s">
        <v>420</v>
      </c>
      <c r="H94">
        <v>5</v>
      </c>
      <c r="I94" t="s">
        <v>422</v>
      </c>
      <c r="J94" t="s">
        <v>425</v>
      </c>
      <c r="K94" t="s">
        <v>429</v>
      </c>
    </row>
    <row r="95" spans="1:11" x14ac:dyDescent="0.25">
      <c r="A95" t="s">
        <v>102</v>
      </c>
      <c r="B95" s="2">
        <v>45743</v>
      </c>
      <c r="C95" t="s">
        <v>296</v>
      </c>
      <c r="D95" t="s">
        <v>389</v>
      </c>
      <c r="E95" t="s">
        <v>406</v>
      </c>
      <c r="F95" t="s">
        <v>411</v>
      </c>
      <c r="G95" t="s">
        <v>419</v>
      </c>
      <c r="H95">
        <v>4</v>
      </c>
      <c r="I95">
        <v>100</v>
      </c>
      <c r="J95" t="s">
        <v>426</v>
      </c>
      <c r="K95" t="s">
        <v>430</v>
      </c>
    </row>
    <row r="96" spans="1:11" x14ac:dyDescent="0.25">
      <c r="A96" t="s">
        <v>103</v>
      </c>
      <c r="B96" s="2">
        <v>45502</v>
      </c>
      <c r="C96" t="s">
        <v>288</v>
      </c>
      <c r="D96" t="s">
        <v>389</v>
      </c>
      <c r="E96" t="s">
        <v>402</v>
      </c>
      <c r="F96" t="s">
        <v>412</v>
      </c>
      <c r="G96" t="s">
        <v>420</v>
      </c>
      <c r="H96">
        <v>1</v>
      </c>
      <c r="I96">
        <v>75.5</v>
      </c>
      <c r="J96" t="s">
        <v>426</v>
      </c>
      <c r="K96" t="s">
        <v>428</v>
      </c>
    </row>
    <row r="97" spans="1:11" x14ac:dyDescent="0.25">
      <c r="A97" t="s">
        <v>104</v>
      </c>
      <c r="B97" s="2">
        <v>45485</v>
      </c>
      <c r="C97" t="s">
        <v>297</v>
      </c>
      <c r="D97" t="s">
        <v>388</v>
      </c>
      <c r="E97" t="s">
        <v>396</v>
      </c>
      <c r="F97" t="s">
        <v>412</v>
      </c>
      <c r="G97" t="s">
        <v>417</v>
      </c>
      <c r="H97">
        <v>3</v>
      </c>
      <c r="I97" t="s">
        <v>423</v>
      </c>
      <c r="J97" t="s">
        <v>424</v>
      </c>
      <c r="K97" t="s">
        <v>429</v>
      </c>
    </row>
    <row r="98" spans="1:11" x14ac:dyDescent="0.25">
      <c r="A98" t="s">
        <v>105</v>
      </c>
      <c r="B98" s="2">
        <v>45665</v>
      </c>
      <c r="C98" t="s">
        <v>298</v>
      </c>
      <c r="D98" t="s">
        <v>389</v>
      </c>
      <c r="E98" t="s">
        <v>401</v>
      </c>
      <c r="F98" t="s">
        <v>411</v>
      </c>
      <c r="G98" t="s">
        <v>417</v>
      </c>
      <c r="H98">
        <v>2</v>
      </c>
      <c r="I98">
        <v>100</v>
      </c>
      <c r="J98" t="s">
        <v>427</v>
      </c>
      <c r="K98" t="s">
        <v>430</v>
      </c>
    </row>
    <row r="99" spans="1:11" x14ac:dyDescent="0.25">
      <c r="A99" t="s">
        <v>106</v>
      </c>
      <c r="B99" s="2">
        <v>45724</v>
      </c>
      <c r="C99" t="s">
        <v>227</v>
      </c>
      <c r="D99" t="s">
        <v>390</v>
      </c>
      <c r="E99" t="s">
        <v>402</v>
      </c>
      <c r="F99" t="s">
        <v>414</v>
      </c>
      <c r="G99" t="s">
        <v>419</v>
      </c>
      <c r="H99">
        <v>2</v>
      </c>
      <c r="I99">
        <v>75.5</v>
      </c>
      <c r="J99" t="s">
        <v>425</v>
      </c>
      <c r="K99" t="s">
        <v>430</v>
      </c>
    </row>
    <row r="100" spans="1:11" x14ac:dyDescent="0.25">
      <c r="A100" t="s">
        <v>56</v>
      </c>
      <c r="B100" s="2">
        <v>45569</v>
      </c>
      <c r="C100" t="s">
        <v>299</v>
      </c>
      <c r="D100" t="s">
        <v>387</v>
      </c>
      <c r="E100" t="s">
        <v>408</v>
      </c>
      <c r="F100" t="s">
        <v>413</v>
      </c>
      <c r="G100" t="s">
        <v>417</v>
      </c>
      <c r="H100">
        <v>5</v>
      </c>
      <c r="I100" t="s">
        <v>421</v>
      </c>
      <c r="J100" t="s">
        <v>425</v>
      </c>
      <c r="K100" t="s">
        <v>430</v>
      </c>
    </row>
    <row r="101" spans="1:11" x14ac:dyDescent="0.25">
      <c r="A101" t="s">
        <v>107</v>
      </c>
      <c r="B101" s="2">
        <v>45758</v>
      </c>
      <c r="C101" t="s">
        <v>300</v>
      </c>
      <c r="D101" t="s">
        <v>388</v>
      </c>
      <c r="E101" t="s">
        <v>395</v>
      </c>
      <c r="F101" t="s">
        <v>413</v>
      </c>
      <c r="G101" t="s">
        <v>418</v>
      </c>
      <c r="H101">
        <v>1</v>
      </c>
      <c r="I101">
        <v>50</v>
      </c>
      <c r="J101" t="s">
        <v>425</v>
      </c>
      <c r="K101" t="s">
        <v>429</v>
      </c>
    </row>
    <row r="102" spans="1:11" x14ac:dyDescent="0.25">
      <c r="A102" t="s">
        <v>108</v>
      </c>
      <c r="B102" s="2">
        <v>45454</v>
      </c>
      <c r="C102" t="s">
        <v>221</v>
      </c>
      <c r="D102" t="s">
        <v>392</v>
      </c>
      <c r="E102" t="s">
        <v>409</v>
      </c>
      <c r="F102" t="s">
        <v>414</v>
      </c>
      <c r="G102" t="s">
        <v>416</v>
      </c>
      <c r="H102">
        <v>100</v>
      </c>
      <c r="I102">
        <v>75.5</v>
      </c>
      <c r="J102" t="s">
        <v>424</v>
      </c>
      <c r="K102" t="s">
        <v>429</v>
      </c>
    </row>
    <row r="103" spans="1:11" x14ac:dyDescent="0.25">
      <c r="A103" t="s">
        <v>109</v>
      </c>
      <c r="B103" s="2">
        <v>45501</v>
      </c>
      <c r="C103" t="s">
        <v>301</v>
      </c>
      <c r="D103" t="s">
        <v>388</v>
      </c>
      <c r="E103" t="s">
        <v>398</v>
      </c>
      <c r="F103" t="s">
        <v>413</v>
      </c>
      <c r="G103" t="s">
        <v>417</v>
      </c>
      <c r="H103">
        <v>5</v>
      </c>
      <c r="I103">
        <v>50</v>
      </c>
      <c r="J103" t="s">
        <v>424</v>
      </c>
      <c r="K103" t="s">
        <v>428</v>
      </c>
    </row>
    <row r="104" spans="1:11" x14ac:dyDescent="0.25">
      <c r="A104" t="s">
        <v>110</v>
      </c>
      <c r="B104" s="2">
        <v>45720</v>
      </c>
      <c r="C104" t="s">
        <v>302</v>
      </c>
      <c r="D104" t="s">
        <v>389</v>
      </c>
      <c r="E104" t="s">
        <v>401</v>
      </c>
      <c r="F104" t="s">
        <v>414</v>
      </c>
      <c r="G104" t="s">
        <v>420</v>
      </c>
      <c r="H104">
        <v>4</v>
      </c>
      <c r="I104" t="s">
        <v>421</v>
      </c>
      <c r="J104" t="s">
        <v>426</v>
      </c>
      <c r="K104" t="s">
        <v>428</v>
      </c>
    </row>
    <row r="105" spans="1:11" x14ac:dyDescent="0.25">
      <c r="A105" t="s">
        <v>111</v>
      </c>
      <c r="B105" s="2">
        <v>45776</v>
      </c>
      <c r="C105" t="s">
        <v>303</v>
      </c>
      <c r="D105" t="s">
        <v>388</v>
      </c>
      <c r="E105" t="s">
        <v>396</v>
      </c>
      <c r="F105" t="s">
        <v>411</v>
      </c>
      <c r="G105" t="s">
        <v>419</v>
      </c>
      <c r="H105">
        <v>5</v>
      </c>
      <c r="I105" t="s">
        <v>422</v>
      </c>
      <c r="J105" t="s">
        <v>425</v>
      </c>
      <c r="K105" t="s">
        <v>428</v>
      </c>
    </row>
    <row r="106" spans="1:11" x14ac:dyDescent="0.25">
      <c r="A106" t="s">
        <v>112</v>
      </c>
      <c r="B106" s="2">
        <v>45768</v>
      </c>
      <c r="C106" t="s">
        <v>304</v>
      </c>
      <c r="D106" t="s">
        <v>391</v>
      </c>
      <c r="E106" t="s">
        <v>407</v>
      </c>
      <c r="F106" t="s">
        <v>414</v>
      </c>
      <c r="G106" t="s">
        <v>418</v>
      </c>
      <c r="H106">
        <v>2</v>
      </c>
      <c r="I106">
        <v>75.5</v>
      </c>
      <c r="J106" t="s">
        <v>427</v>
      </c>
      <c r="K106" t="s">
        <v>428</v>
      </c>
    </row>
    <row r="107" spans="1:11" x14ac:dyDescent="0.25">
      <c r="A107" t="s">
        <v>113</v>
      </c>
      <c r="B107" s="2">
        <v>45740</v>
      </c>
      <c r="C107" t="s">
        <v>305</v>
      </c>
      <c r="D107" t="s">
        <v>393</v>
      </c>
      <c r="E107" t="s">
        <v>408</v>
      </c>
      <c r="F107" t="s">
        <v>414</v>
      </c>
      <c r="G107" t="s">
        <v>418</v>
      </c>
      <c r="H107">
        <v>2</v>
      </c>
      <c r="I107">
        <v>50</v>
      </c>
      <c r="J107" t="s">
        <v>426</v>
      </c>
      <c r="K107" t="s">
        <v>429</v>
      </c>
    </row>
    <row r="108" spans="1:11" x14ac:dyDescent="0.25">
      <c r="A108" t="s">
        <v>114</v>
      </c>
      <c r="B108" s="2">
        <v>45511</v>
      </c>
      <c r="C108" t="s">
        <v>306</v>
      </c>
      <c r="D108" t="s">
        <v>392</v>
      </c>
      <c r="E108" t="s">
        <v>410</v>
      </c>
      <c r="F108" t="s">
        <v>411</v>
      </c>
      <c r="G108" t="s">
        <v>420</v>
      </c>
      <c r="H108">
        <v>100</v>
      </c>
      <c r="I108">
        <v>50</v>
      </c>
      <c r="J108" t="s">
        <v>426</v>
      </c>
      <c r="K108" t="s">
        <v>428</v>
      </c>
    </row>
    <row r="109" spans="1:11" x14ac:dyDescent="0.25">
      <c r="A109" t="s">
        <v>115</v>
      </c>
      <c r="B109" s="2">
        <v>45798</v>
      </c>
      <c r="C109" t="s">
        <v>307</v>
      </c>
      <c r="D109" t="s">
        <v>393</v>
      </c>
      <c r="E109" t="s">
        <v>400</v>
      </c>
      <c r="F109" t="s">
        <v>414</v>
      </c>
      <c r="G109" t="s">
        <v>418</v>
      </c>
      <c r="H109">
        <v>4</v>
      </c>
      <c r="I109">
        <v>50</v>
      </c>
      <c r="J109" t="s">
        <v>424</v>
      </c>
      <c r="K109" t="s">
        <v>430</v>
      </c>
    </row>
    <row r="110" spans="1:11" x14ac:dyDescent="0.25">
      <c r="A110" t="s">
        <v>116</v>
      </c>
      <c r="B110" s="2">
        <v>45629</v>
      </c>
      <c r="C110" t="s">
        <v>308</v>
      </c>
      <c r="D110" t="s">
        <v>389</v>
      </c>
      <c r="E110" t="s">
        <v>406</v>
      </c>
      <c r="F110" t="s">
        <v>412</v>
      </c>
      <c r="G110" t="s">
        <v>419</v>
      </c>
      <c r="H110">
        <v>2</v>
      </c>
      <c r="I110" t="s">
        <v>423</v>
      </c>
      <c r="J110" t="s">
        <v>426</v>
      </c>
      <c r="K110" t="s">
        <v>428</v>
      </c>
    </row>
    <row r="111" spans="1:11" x14ac:dyDescent="0.25">
      <c r="A111" t="s">
        <v>117</v>
      </c>
      <c r="B111" s="2">
        <v>45789</v>
      </c>
      <c r="D111" t="s">
        <v>392</v>
      </c>
      <c r="E111" t="s">
        <v>404</v>
      </c>
      <c r="F111" t="s">
        <v>413</v>
      </c>
      <c r="G111" t="s">
        <v>420</v>
      </c>
      <c r="H111">
        <v>100</v>
      </c>
      <c r="I111" t="s">
        <v>421</v>
      </c>
      <c r="J111" t="s">
        <v>425</v>
      </c>
      <c r="K111" t="s">
        <v>428</v>
      </c>
    </row>
    <row r="112" spans="1:11" x14ac:dyDescent="0.25">
      <c r="A112" t="s">
        <v>118</v>
      </c>
      <c r="B112" s="2">
        <v>45741</v>
      </c>
      <c r="D112" t="s">
        <v>388</v>
      </c>
      <c r="E112" t="s">
        <v>398</v>
      </c>
      <c r="F112" t="s">
        <v>413</v>
      </c>
      <c r="G112" t="s">
        <v>420</v>
      </c>
      <c r="H112">
        <v>3</v>
      </c>
      <c r="I112" t="s">
        <v>423</v>
      </c>
      <c r="J112" t="s">
        <v>424</v>
      </c>
      <c r="K112" t="s">
        <v>428</v>
      </c>
    </row>
    <row r="113" spans="1:11" x14ac:dyDescent="0.25">
      <c r="A113" t="s">
        <v>119</v>
      </c>
      <c r="B113" s="2">
        <v>45621</v>
      </c>
      <c r="C113" t="s">
        <v>309</v>
      </c>
      <c r="D113" t="s">
        <v>387</v>
      </c>
      <c r="E113" t="s">
        <v>400</v>
      </c>
      <c r="F113" t="s">
        <v>412</v>
      </c>
      <c r="G113" t="s">
        <v>417</v>
      </c>
      <c r="H113">
        <v>5</v>
      </c>
      <c r="I113" t="s">
        <v>422</v>
      </c>
      <c r="J113" t="s">
        <v>426</v>
      </c>
      <c r="K113" t="s">
        <v>430</v>
      </c>
    </row>
    <row r="114" spans="1:11" x14ac:dyDescent="0.25">
      <c r="A114" t="s">
        <v>120</v>
      </c>
      <c r="B114" s="2">
        <v>45796</v>
      </c>
      <c r="C114" t="s">
        <v>295</v>
      </c>
      <c r="D114" t="s">
        <v>391</v>
      </c>
      <c r="E114" t="s">
        <v>403</v>
      </c>
      <c r="F114" t="s">
        <v>411</v>
      </c>
      <c r="G114" t="s">
        <v>417</v>
      </c>
      <c r="H114">
        <v>2</v>
      </c>
      <c r="I114" t="s">
        <v>422</v>
      </c>
      <c r="J114" t="s">
        <v>425</v>
      </c>
      <c r="K114" t="s">
        <v>430</v>
      </c>
    </row>
    <row r="115" spans="1:11" x14ac:dyDescent="0.25">
      <c r="A115" t="s">
        <v>121</v>
      </c>
      <c r="B115" s="2">
        <v>45769</v>
      </c>
      <c r="C115" t="s">
        <v>310</v>
      </c>
      <c r="D115" t="s">
        <v>393</v>
      </c>
      <c r="E115" t="s">
        <v>399</v>
      </c>
      <c r="F115" t="s">
        <v>414</v>
      </c>
      <c r="G115" t="s">
        <v>418</v>
      </c>
      <c r="H115">
        <v>5</v>
      </c>
      <c r="I115">
        <v>50</v>
      </c>
      <c r="J115" t="s">
        <v>427</v>
      </c>
      <c r="K115" t="s">
        <v>429</v>
      </c>
    </row>
    <row r="116" spans="1:11" x14ac:dyDescent="0.25">
      <c r="A116" t="s">
        <v>122</v>
      </c>
      <c r="B116" s="2">
        <v>45494</v>
      </c>
      <c r="C116" t="s">
        <v>311</v>
      </c>
      <c r="D116" t="s">
        <v>387</v>
      </c>
      <c r="E116" t="s">
        <v>408</v>
      </c>
      <c r="F116" t="s">
        <v>413</v>
      </c>
      <c r="G116" t="s">
        <v>419</v>
      </c>
      <c r="H116">
        <v>1</v>
      </c>
      <c r="I116" t="s">
        <v>423</v>
      </c>
      <c r="J116" t="s">
        <v>424</v>
      </c>
      <c r="K116" t="s">
        <v>428</v>
      </c>
    </row>
    <row r="117" spans="1:11" x14ac:dyDescent="0.25">
      <c r="A117" t="s">
        <v>123</v>
      </c>
      <c r="B117" s="2">
        <v>45697</v>
      </c>
      <c r="C117" t="s">
        <v>312</v>
      </c>
      <c r="D117" t="s">
        <v>390</v>
      </c>
      <c r="E117" t="s">
        <v>406</v>
      </c>
      <c r="F117" t="s">
        <v>412</v>
      </c>
      <c r="G117" t="s">
        <v>420</v>
      </c>
      <c r="H117">
        <v>1</v>
      </c>
      <c r="I117">
        <v>100</v>
      </c>
      <c r="J117" t="s">
        <v>427</v>
      </c>
      <c r="K117" t="s">
        <v>429</v>
      </c>
    </row>
    <row r="118" spans="1:11" x14ac:dyDescent="0.25">
      <c r="A118" t="s">
        <v>124</v>
      </c>
      <c r="B118" s="2">
        <v>45732</v>
      </c>
      <c r="C118" t="s">
        <v>313</v>
      </c>
      <c r="D118" t="s">
        <v>393</v>
      </c>
      <c r="E118" t="s">
        <v>400</v>
      </c>
      <c r="F118" t="s">
        <v>415</v>
      </c>
      <c r="G118" t="s">
        <v>416</v>
      </c>
      <c r="H118">
        <v>1</v>
      </c>
      <c r="I118">
        <v>50</v>
      </c>
      <c r="J118" t="s">
        <v>427</v>
      </c>
      <c r="K118" t="s">
        <v>428</v>
      </c>
    </row>
    <row r="119" spans="1:11" x14ac:dyDescent="0.25">
      <c r="A119" t="s">
        <v>125</v>
      </c>
      <c r="B119" s="2">
        <v>45776</v>
      </c>
      <c r="C119" t="s">
        <v>314</v>
      </c>
      <c r="D119" t="s">
        <v>390</v>
      </c>
      <c r="E119" t="s">
        <v>406</v>
      </c>
      <c r="F119" t="s">
        <v>414</v>
      </c>
      <c r="G119" t="s">
        <v>419</v>
      </c>
      <c r="H119">
        <v>4</v>
      </c>
      <c r="I119" t="s">
        <v>423</v>
      </c>
      <c r="J119" t="s">
        <v>424</v>
      </c>
      <c r="K119" t="s">
        <v>430</v>
      </c>
    </row>
    <row r="120" spans="1:11" x14ac:dyDescent="0.25">
      <c r="A120" t="s">
        <v>126</v>
      </c>
      <c r="B120" s="2">
        <v>45759</v>
      </c>
      <c r="C120" t="s">
        <v>315</v>
      </c>
      <c r="D120" t="s">
        <v>389</v>
      </c>
      <c r="E120" t="s">
        <v>401</v>
      </c>
      <c r="F120" t="s">
        <v>415</v>
      </c>
      <c r="G120" t="s">
        <v>420</v>
      </c>
      <c r="H120">
        <v>2</v>
      </c>
      <c r="I120">
        <v>100</v>
      </c>
      <c r="J120" t="s">
        <v>425</v>
      </c>
      <c r="K120" t="s">
        <v>430</v>
      </c>
    </row>
    <row r="121" spans="1:11" x14ac:dyDescent="0.25">
      <c r="A121" t="s">
        <v>127</v>
      </c>
      <c r="B121" s="2">
        <v>45664</v>
      </c>
      <c r="C121" t="s">
        <v>316</v>
      </c>
      <c r="D121" t="s">
        <v>387</v>
      </c>
      <c r="E121" t="s">
        <v>400</v>
      </c>
      <c r="F121" t="s">
        <v>412</v>
      </c>
      <c r="G121" t="s">
        <v>418</v>
      </c>
      <c r="H121">
        <v>100</v>
      </c>
      <c r="I121" t="s">
        <v>421</v>
      </c>
      <c r="J121" t="s">
        <v>424</v>
      </c>
      <c r="K121" t="s">
        <v>429</v>
      </c>
    </row>
    <row r="122" spans="1:11" x14ac:dyDescent="0.25">
      <c r="A122" t="s">
        <v>128</v>
      </c>
      <c r="B122" s="2">
        <v>45513</v>
      </c>
      <c r="D122" t="s">
        <v>390</v>
      </c>
      <c r="E122" t="s">
        <v>402</v>
      </c>
      <c r="F122" t="s">
        <v>411</v>
      </c>
      <c r="G122" t="s">
        <v>416</v>
      </c>
      <c r="H122">
        <v>5</v>
      </c>
      <c r="I122">
        <v>50</v>
      </c>
      <c r="J122" t="s">
        <v>424</v>
      </c>
      <c r="K122" t="s">
        <v>428</v>
      </c>
    </row>
    <row r="123" spans="1:11" x14ac:dyDescent="0.25">
      <c r="A123" t="s">
        <v>129</v>
      </c>
      <c r="B123" s="2">
        <v>45750</v>
      </c>
      <c r="C123" t="s">
        <v>317</v>
      </c>
      <c r="D123" t="s">
        <v>390</v>
      </c>
      <c r="E123" t="s">
        <v>401</v>
      </c>
      <c r="F123" t="s">
        <v>412</v>
      </c>
      <c r="G123" t="s">
        <v>417</v>
      </c>
      <c r="H123">
        <v>3</v>
      </c>
      <c r="I123" t="s">
        <v>423</v>
      </c>
      <c r="J123" t="s">
        <v>427</v>
      </c>
      <c r="K123" t="s">
        <v>429</v>
      </c>
    </row>
    <row r="124" spans="1:11" x14ac:dyDescent="0.25">
      <c r="A124" t="s">
        <v>130</v>
      </c>
      <c r="B124" s="2">
        <v>45574</v>
      </c>
      <c r="C124" t="s">
        <v>318</v>
      </c>
      <c r="D124" t="s">
        <v>385</v>
      </c>
      <c r="E124" t="s">
        <v>395</v>
      </c>
      <c r="F124" t="s">
        <v>414</v>
      </c>
      <c r="G124" t="s">
        <v>417</v>
      </c>
      <c r="H124">
        <v>5</v>
      </c>
      <c r="I124">
        <v>50</v>
      </c>
      <c r="J124" t="s">
        <v>424</v>
      </c>
      <c r="K124" t="s">
        <v>430</v>
      </c>
    </row>
    <row r="125" spans="1:11" x14ac:dyDescent="0.25">
      <c r="A125" t="s">
        <v>131</v>
      </c>
      <c r="B125" s="2">
        <v>45532</v>
      </c>
      <c r="C125" t="s">
        <v>319</v>
      </c>
      <c r="D125" t="s">
        <v>393</v>
      </c>
      <c r="E125" t="s">
        <v>408</v>
      </c>
      <c r="F125" t="s">
        <v>414</v>
      </c>
      <c r="G125" t="s">
        <v>419</v>
      </c>
      <c r="H125">
        <v>5</v>
      </c>
      <c r="I125" t="s">
        <v>421</v>
      </c>
      <c r="J125" t="s">
        <v>426</v>
      </c>
      <c r="K125" t="s">
        <v>428</v>
      </c>
    </row>
    <row r="126" spans="1:11" x14ac:dyDescent="0.25">
      <c r="A126" t="s">
        <v>132</v>
      </c>
      <c r="B126" s="2">
        <v>45502</v>
      </c>
      <c r="C126" t="s">
        <v>320</v>
      </c>
      <c r="D126" t="s">
        <v>387</v>
      </c>
      <c r="E126" t="s">
        <v>399</v>
      </c>
      <c r="F126" t="s">
        <v>411</v>
      </c>
      <c r="G126" t="s">
        <v>416</v>
      </c>
      <c r="H126">
        <v>100</v>
      </c>
      <c r="I126" t="s">
        <v>423</v>
      </c>
      <c r="J126" t="s">
        <v>424</v>
      </c>
      <c r="K126" t="s">
        <v>428</v>
      </c>
    </row>
    <row r="127" spans="1:11" x14ac:dyDescent="0.25">
      <c r="A127" t="s">
        <v>133</v>
      </c>
      <c r="B127" s="2">
        <v>45770</v>
      </c>
      <c r="C127" t="s">
        <v>321</v>
      </c>
      <c r="D127" t="s">
        <v>393</v>
      </c>
      <c r="E127" t="s">
        <v>399</v>
      </c>
      <c r="F127" t="s">
        <v>413</v>
      </c>
      <c r="G127" t="s">
        <v>419</v>
      </c>
      <c r="H127">
        <v>100</v>
      </c>
      <c r="I127">
        <v>100</v>
      </c>
      <c r="J127" t="s">
        <v>425</v>
      </c>
      <c r="K127" t="s">
        <v>428</v>
      </c>
    </row>
    <row r="128" spans="1:11" x14ac:dyDescent="0.25">
      <c r="A128" t="s">
        <v>134</v>
      </c>
      <c r="B128" s="2">
        <v>45551</v>
      </c>
      <c r="C128" t="s">
        <v>322</v>
      </c>
      <c r="D128" t="s">
        <v>390</v>
      </c>
      <c r="E128" t="s">
        <v>402</v>
      </c>
      <c r="F128" t="s">
        <v>415</v>
      </c>
      <c r="G128" t="s">
        <v>417</v>
      </c>
      <c r="H128">
        <v>100</v>
      </c>
      <c r="I128">
        <v>50</v>
      </c>
      <c r="J128" t="s">
        <v>426</v>
      </c>
      <c r="K128" t="s">
        <v>429</v>
      </c>
    </row>
    <row r="129" spans="1:11" x14ac:dyDescent="0.25">
      <c r="A129" t="s">
        <v>135</v>
      </c>
      <c r="B129" s="2">
        <v>45581</v>
      </c>
      <c r="C129" t="s">
        <v>238</v>
      </c>
      <c r="D129" t="s">
        <v>389</v>
      </c>
      <c r="E129" t="s">
        <v>406</v>
      </c>
      <c r="F129" t="s">
        <v>415</v>
      </c>
      <c r="G129" t="s">
        <v>418</v>
      </c>
      <c r="I129">
        <v>100</v>
      </c>
      <c r="J129" t="s">
        <v>425</v>
      </c>
      <c r="K129" t="s">
        <v>430</v>
      </c>
    </row>
    <row r="130" spans="1:11" x14ac:dyDescent="0.25">
      <c r="A130" t="s">
        <v>136</v>
      </c>
      <c r="B130" s="2">
        <v>45640</v>
      </c>
      <c r="C130" t="s">
        <v>323</v>
      </c>
      <c r="D130" t="s">
        <v>387</v>
      </c>
      <c r="E130" t="s">
        <v>408</v>
      </c>
      <c r="F130" t="s">
        <v>414</v>
      </c>
      <c r="G130" t="s">
        <v>420</v>
      </c>
      <c r="H130">
        <v>100</v>
      </c>
      <c r="I130" t="s">
        <v>422</v>
      </c>
      <c r="J130" t="s">
        <v>427</v>
      </c>
      <c r="K130" t="s">
        <v>430</v>
      </c>
    </row>
    <row r="131" spans="1:11" x14ac:dyDescent="0.25">
      <c r="A131" t="s">
        <v>137</v>
      </c>
      <c r="B131" s="2">
        <v>45470</v>
      </c>
      <c r="C131" t="s">
        <v>324</v>
      </c>
      <c r="D131" t="s">
        <v>394</v>
      </c>
      <c r="E131" t="s">
        <v>404</v>
      </c>
      <c r="F131" t="s">
        <v>413</v>
      </c>
      <c r="G131" t="s">
        <v>416</v>
      </c>
      <c r="H131">
        <v>5</v>
      </c>
      <c r="I131" t="s">
        <v>422</v>
      </c>
      <c r="J131" t="s">
        <v>427</v>
      </c>
      <c r="K131" t="s">
        <v>430</v>
      </c>
    </row>
    <row r="132" spans="1:11" x14ac:dyDescent="0.25">
      <c r="A132" t="s">
        <v>138</v>
      </c>
      <c r="B132" s="2">
        <v>45732</v>
      </c>
      <c r="C132" t="s">
        <v>325</v>
      </c>
      <c r="D132" t="s">
        <v>393</v>
      </c>
      <c r="E132" t="s">
        <v>399</v>
      </c>
      <c r="F132" t="s">
        <v>413</v>
      </c>
      <c r="G132" t="s">
        <v>416</v>
      </c>
      <c r="H132">
        <v>3</v>
      </c>
      <c r="I132">
        <v>75.5</v>
      </c>
      <c r="J132" t="s">
        <v>426</v>
      </c>
      <c r="K132" t="s">
        <v>430</v>
      </c>
    </row>
    <row r="133" spans="1:11" x14ac:dyDescent="0.25">
      <c r="A133" t="s">
        <v>139</v>
      </c>
      <c r="B133" s="2">
        <v>45622</v>
      </c>
      <c r="C133" t="s">
        <v>326</v>
      </c>
      <c r="D133" t="s">
        <v>388</v>
      </c>
      <c r="E133" t="s">
        <v>396</v>
      </c>
      <c r="F133" t="s">
        <v>415</v>
      </c>
      <c r="G133" t="s">
        <v>418</v>
      </c>
      <c r="H133">
        <v>2</v>
      </c>
      <c r="I133" t="s">
        <v>422</v>
      </c>
      <c r="J133" t="s">
        <v>425</v>
      </c>
      <c r="K133" t="s">
        <v>430</v>
      </c>
    </row>
    <row r="134" spans="1:11" x14ac:dyDescent="0.25">
      <c r="A134" t="s">
        <v>140</v>
      </c>
      <c r="B134" s="2">
        <v>45515</v>
      </c>
      <c r="C134" t="s">
        <v>327</v>
      </c>
      <c r="D134" t="s">
        <v>387</v>
      </c>
      <c r="E134" t="s">
        <v>400</v>
      </c>
      <c r="F134" t="s">
        <v>411</v>
      </c>
      <c r="G134" t="s">
        <v>417</v>
      </c>
      <c r="H134">
        <v>1</v>
      </c>
      <c r="I134" t="s">
        <v>422</v>
      </c>
      <c r="J134" t="s">
        <v>424</v>
      </c>
      <c r="K134" t="s">
        <v>429</v>
      </c>
    </row>
    <row r="135" spans="1:11" x14ac:dyDescent="0.25">
      <c r="A135" t="s">
        <v>141</v>
      </c>
      <c r="B135" s="2">
        <v>45466</v>
      </c>
      <c r="C135" t="s">
        <v>328</v>
      </c>
      <c r="D135" t="s">
        <v>394</v>
      </c>
      <c r="E135" t="s">
        <v>410</v>
      </c>
      <c r="F135" t="s">
        <v>411</v>
      </c>
      <c r="G135" t="s">
        <v>417</v>
      </c>
      <c r="H135">
        <v>2</v>
      </c>
      <c r="I135" t="s">
        <v>422</v>
      </c>
      <c r="J135" t="s">
        <v>427</v>
      </c>
      <c r="K135" t="s">
        <v>430</v>
      </c>
    </row>
    <row r="136" spans="1:11" x14ac:dyDescent="0.25">
      <c r="A136" t="s">
        <v>142</v>
      </c>
      <c r="B136" s="2">
        <v>45536</v>
      </c>
      <c r="C136" t="s">
        <v>329</v>
      </c>
      <c r="D136" t="s">
        <v>391</v>
      </c>
      <c r="E136" t="s">
        <v>403</v>
      </c>
      <c r="F136" t="s">
        <v>413</v>
      </c>
      <c r="G136" t="s">
        <v>418</v>
      </c>
      <c r="I136">
        <v>50</v>
      </c>
      <c r="J136" t="s">
        <v>424</v>
      </c>
      <c r="K136" t="s">
        <v>428</v>
      </c>
    </row>
    <row r="137" spans="1:11" x14ac:dyDescent="0.25">
      <c r="A137" t="s">
        <v>143</v>
      </c>
      <c r="B137" s="2">
        <v>45658</v>
      </c>
      <c r="C137" t="s">
        <v>330</v>
      </c>
      <c r="D137" t="s">
        <v>391</v>
      </c>
      <c r="E137" t="s">
        <v>403</v>
      </c>
      <c r="F137" t="s">
        <v>413</v>
      </c>
      <c r="G137" t="s">
        <v>418</v>
      </c>
      <c r="H137">
        <v>2</v>
      </c>
      <c r="I137" t="s">
        <v>422</v>
      </c>
      <c r="J137" t="s">
        <v>424</v>
      </c>
      <c r="K137" t="s">
        <v>430</v>
      </c>
    </row>
    <row r="138" spans="1:11" x14ac:dyDescent="0.25">
      <c r="A138" t="s">
        <v>144</v>
      </c>
      <c r="B138" s="2">
        <v>45743</v>
      </c>
      <c r="C138" t="s">
        <v>331</v>
      </c>
      <c r="D138" t="s">
        <v>387</v>
      </c>
      <c r="E138" t="s">
        <v>400</v>
      </c>
      <c r="F138" t="s">
        <v>411</v>
      </c>
      <c r="G138" t="s">
        <v>417</v>
      </c>
      <c r="H138">
        <v>1</v>
      </c>
      <c r="I138">
        <v>75.5</v>
      </c>
      <c r="J138" t="s">
        <v>425</v>
      </c>
      <c r="K138" t="s">
        <v>429</v>
      </c>
    </row>
    <row r="139" spans="1:11" x14ac:dyDescent="0.25">
      <c r="A139" t="s">
        <v>145</v>
      </c>
      <c r="B139" s="2">
        <v>45730</v>
      </c>
      <c r="D139" t="s">
        <v>394</v>
      </c>
      <c r="E139" t="s">
        <v>404</v>
      </c>
      <c r="F139" t="s">
        <v>415</v>
      </c>
      <c r="G139" t="s">
        <v>420</v>
      </c>
      <c r="H139">
        <v>4</v>
      </c>
      <c r="I139" t="s">
        <v>423</v>
      </c>
      <c r="J139" t="s">
        <v>425</v>
      </c>
      <c r="K139" t="s">
        <v>428</v>
      </c>
    </row>
    <row r="140" spans="1:11" x14ac:dyDescent="0.25">
      <c r="A140" t="s">
        <v>146</v>
      </c>
      <c r="B140" s="2">
        <v>45772</v>
      </c>
      <c r="C140" t="s">
        <v>332</v>
      </c>
      <c r="D140" t="s">
        <v>390</v>
      </c>
      <c r="E140" t="s">
        <v>406</v>
      </c>
      <c r="F140" t="s">
        <v>412</v>
      </c>
      <c r="G140" t="s">
        <v>417</v>
      </c>
      <c r="H140">
        <v>5</v>
      </c>
      <c r="I140" t="s">
        <v>421</v>
      </c>
      <c r="J140" t="s">
        <v>425</v>
      </c>
      <c r="K140" t="s">
        <v>430</v>
      </c>
    </row>
    <row r="141" spans="1:11" x14ac:dyDescent="0.25">
      <c r="A141" t="s">
        <v>147</v>
      </c>
      <c r="B141" s="2">
        <v>45797</v>
      </c>
      <c r="C141" t="s">
        <v>333</v>
      </c>
      <c r="D141" t="s">
        <v>389</v>
      </c>
      <c r="E141" t="s">
        <v>406</v>
      </c>
      <c r="F141" t="s">
        <v>414</v>
      </c>
      <c r="G141" t="s">
        <v>416</v>
      </c>
      <c r="H141">
        <v>2</v>
      </c>
      <c r="I141" t="s">
        <v>423</v>
      </c>
      <c r="J141" t="s">
        <v>427</v>
      </c>
      <c r="K141" t="s">
        <v>428</v>
      </c>
    </row>
    <row r="142" spans="1:11" x14ac:dyDescent="0.25">
      <c r="A142" t="s">
        <v>148</v>
      </c>
      <c r="B142" s="2">
        <v>45511</v>
      </c>
      <c r="C142" t="s">
        <v>334</v>
      </c>
      <c r="D142" t="s">
        <v>392</v>
      </c>
      <c r="E142" t="s">
        <v>405</v>
      </c>
      <c r="F142" t="s">
        <v>415</v>
      </c>
      <c r="G142" t="s">
        <v>417</v>
      </c>
      <c r="H142">
        <v>5</v>
      </c>
      <c r="I142">
        <v>100</v>
      </c>
      <c r="J142" t="s">
        <v>424</v>
      </c>
      <c r="K142" t="s">
        <v>429</v>
      </c>
    </row>
    <row r="143" spans="1:11" x14ac:dyDescent="0.25">
      <c r="A143" t="s">
        <v>149</v>
      </c>
      <c r="B143" s="2">
        <v>45658</v>
      </c>
      <c r="C143" t="s">
        <v>335</v>
      </c>
      <c r="D143" t="s">
        <v>388</v>
      </c>
      <c r="E143" t="s">
        <v>396</v>
      </c>
      <c r="F143" t="s">
        <v>415</v>
      </c>
      <c r="G143" t="s">
        <v>418</v>
      </c>
      <c r="H143">
        <v>3</v>
      </c>
      <c r="I143" t="s">
        <v>422</v>
      </c>
      <c r="J143" t="s">
        <v>427</v>
      </c>
      <c r="K143" t="s">
        <v>428</v>
      </c>
    </row>
    <row r="144" spans="1:11" x14ac:dyDescent="0.25">
      <c r="A144" t="s">
        <v>150</v>
      </c>
      <c r="B144" s="2">
        <v>45469</v>
      </c>
      <c r="C144" t="s">
        <v>336</v>
      </c>
      <c r="D144" t="s">
        <v>390</v>
      </c>
      <c r="E144" t="s">
        <v>402</v>
      </c>
      <c r="F144" t="s">
        <v>411</v>
      </c>
      <c r="G144" t="s">
        <v>419</v>
      </c>
      <c r="H144">
        <v>100</v>
      </c>
      <c r="I144" t="s">
        <v>421</v>
      </c>
      <c r="J144" t="s">
        <v>426</v>
      </c>
      <c r="K144" t="s">
        <v>429</v>
      </c>
    </row>
    <row r="145" spans="1:11" x14ac:dyDescent="0.25">
      <c r="A145" t="s">
        <v>151</v>
      </c>
      <c r="B145" s="2">
        <v>45580</v>
      </c>
      <c r="C145" t="s">
        <v>337</v>
      </c>
      <c r="D145" t="s">
        <v>388</v>
      </c>
      <c r="E145" t="s">
        <v>398</v>
      </c>
      <c r="F145" t="s">
        <v>413</v>
      </c>
      <c r="G145" t="s">
        <v>418</v>
      </c>
      <c r="H145">
        <v>100</v>
      </c>
      <c r="I145">
        <v>50</v>
      </c>
      <c r="J145" t="s">
        <v>424</v>
      </c>
      <c r="K145" t="s">
        <v>429</v>
      </c>
    </row>
    <row r="146" spans="1:11" x14ac:dyDescent="0.25">
      <c r="A146" t="s">
        <v>152</v>
      </c>
      <c r="B146" s="2">
        <v>45659</v>
      </c>
      <c r="C146" t="s">
        <v>338</v>
      </c>
      <c r="D146" t="s">
        <v>389</v>
      </c>
      <c r="E146" t="s">
        <v>401</v>
      </c>
      <c r="F146" t="s">
        <v>411</v>
      </c>
      <c r="G146" t="s">
        <v>417</v>
      </c>
      <c r="H146">
        <v>4</v>
      </c>
      <c r="I146" t="s">
        <v>422</v>
      </c>
      <c r="J146" t="s">
        <v>424</v>
      </c>
      <c r="K146" t="s">
        <v>430</v>
      </c>
    </row>
    <row r="147" spans="1:11" x14ac:dyDescent="0.25">
      <c r="B147" s="2">
        <v>45691</v>
      </c>
    </row>
    <row r="148" spans="1:11" x14ac:dyDescent="0.25">
      <c r="A148" t="s">
        <v>153</v>
      </c>
      <c r="B148" s="2">
        <v>45746</v>
      </c>
      <c r="C148" t="s">
        <v>331</v>
      </c>
      <c r="D148" t="s">
        <v>389</v>
      </c>
      <c r="E148" t="s">
        <v>401</v>
      </c>
      <c r="F148" t="s">
        <v>411</v>
      </c>
      <c r="G148" t="s">
        <v>419</v>
      </c>
      <c r="H148">
        <v>5</v>
      </c>
      <c r="I148">
        <v>100</v>
      </c>
      <c r="J148" t="s">
        <v>425</v>
      </c>
      <c r="K148" t="s">
        <v>429</v>
      </c>
    </row>
    <row r="149" spans="1:11" x14ac:dyDescent="0.25">
      <c r="A149" t="s">
        <v>154</v>
      </c>
      <c r="B149" s="2">
        <v>45500</v>
      </c>
      <c r="C149" t="s">
        <v>339</v>
      </c>
      <c r="D149" t="s">
        <v>392</v>
      </c>
      <c r="E149" t="s">
        <v>410</v>
      </c>
      <c r="F149" t="s">
        <v>414</v>
      </c>
      <c r="G149" t="s">
        <v>418</v>
      </c>
      <c r="H149">
        <v>1</v>
      </c>
      <c r="I149" t="s">
        <v>421</v>
      </c>
      <c r="J149" t="s">
        <v>424</v>
      </c>
      <c r="K149" t="s">
        <v>430</v>
      </c>
    </row>
    <row r="150" spans="1:11" x14ac:dyDescent="0.25">
      <c r="B150" s="2">
        <v>45571</v>
      </c>
    </row>
    <row r="151" spans="1:11" x14ac:dyDescent="0.25">
      <c r="A151" t="s">
        <v>155</v>
      </c>
      <c r="B151" s="2">
        <v>45724</v>
      </c>
      <c r="C151" t="s">
        <v>340</v>
      </c>
      <c r="D151" t="s">
        <v>391</v>
      </c>
      <c r="E151" t="s">
        <v>407</v>
      </c>
      <c r="F151" t="s">
        <v>411</v>
      </c>
      <c r="G151" t="s">
        <v>420</v>
      </c>
      <c r="H151">
        <v>3</v>
      </c>
      <c r="I151" t="s">
        <v>422</v>
      </c>
      <c r="J151" t="s">
        <v>426</v>
      </c>
      <c r="K151" t="s">
        <v>432</v>
      </c>
    </row>
    <row r="152" spans="1:11" x14ac:dyDescent="0.25">
      <c r="A152" t="s">
        <v>156</v>
      </c>
      <c r="B152" s="2">
        <v>45630</v>
      </c>
      <c r="C152" t="s">
        <v>341</v>
      </c>
      <c r="D152" t="s">
        <v>386</v>
      </c>
      <c r="E152" t="s">
        <v>407</v>
      </c>
      <c r="F152" t="s">
        <v>413</v>
      </c>
      <c r="G152" t="s">
        <v>420</v>
      </c>
      <c r="H152">
        <v>5</v>
      </c>
      <c r="I152">
        <v>50</v>
      </c>
      <c r="J152" t="s">
        <v>426</v>
      </c>
      <c r="K152" t="s">
        <v>429</v>
      </c>
    </row>
    <row r="153" spans="1:11" x14ac:dyDescent="0.25">
      <c r="A153" t="s">
        <v>106</v>
      </c>
      <c r="B153" s="2">
        <v>45748</v>
      </c>
      <c r="C153" t="s">
        <v>227</v>
      </c>
      <c r="D153" t="s">
        <v>389</v>
      </c>
      <c r="E153" t="s">
        <v>402</v>
      </c>
      <c r="F153" t="s">
        <v>414</v>
      </c>
      <c r="G153" t="s">
        <v>419</v>
      </c>
      <c r="H153">
        <v>2</v>
      </c>
      <c r="I153">
        <v>75.5</v>
      </c>
      <c r="J153" t="s">
        <v>425</v>
      </c>
      <c r="K153" t="s">
        <v>430</v>
      </c>
    </row>
    <row r="154" spans="1:11" x14ac:dyDescent="0.25">
      <c r="A154" t="s">
        <v>31</v>
      </c>
      <c r="B154" s="2">
        <v>45689</v>
      </c>
      <c r="C154" t="s">
        <v>228</v>
      </c>
      <c r="D154" t="s">
        <v>388</v>
      </c>
      <c r="E154" t="s">
        <v>395</v>
      </c>
      <c r="F154" t="s">
        <v>413</v>
      </c>
      <c r="G154" t="s">
        <v>418</v>
      </c>
      <c r="H154">
        <v>4</v>
      </c>
      <c r="I154">
        <v>75.5</v>
      </c>
      <c r="J154" t="s">
        <v>427</v>
      </c>
      <c r="K154" t="s">
        <v>430</v>
      </c>
    </row>
    <row r="155" spans="1:11" x14ac:dyDescent="0.25">
      <c r="A155" t="s">
        <v>157</v>
      </c>
      <c r="B155" s="2">
        <v>45482</v>
      </c>
      <c r="C155" t="s">
        <v>342</v>
      </c>
      <c r="D155" t="s">
        <v>394</v>
      </c>
      <c r="E155" t="s">
        <v>409</v>
      </c>
      <c r="F155" t="s">
        <v>411</v>
      </c>
      <c r="G155" t="s">
        <v>420</v>
      </c>
      <c r="H155">
        <v>4</v>
      </c>
      <c r="I155">
        <v>75.5</v>
      </c>
      <c r="J155" t="s">
        <v>424</v>
      </c>
      <c r="K155" t="s">
        <v>428</v>
      </c>
    </row>
    <row r="156" spans="1:11" x14ac:dyDescent="0.25">
      <c r="A156" t="s">
        <v>158</v>
      </c>
      <c r="B156" s="2">
        <v>45621</v>
      </c>
      <c r="C156" t="s">
        <v>343</v>
      </c>
      <c r="D156" t="s">
        <v>386</v>
      </c>
      <c r="E156" t="s">
        <v>407</v>
      </c>
      <c r="F156" t="s">
        <v>411</v>
      </c>
      <c r="G156" t="s">
        <v>417</v>
      </c>
      <c r="H156">
        <v>100</v>
      </c>
      <c r="I156" t="s">
        <v>423</v>
      </c>
      <c r="J156" t="s">
        <v>425</v>
      </c>
      <c r="K156" t="s">
        <v>429</v>
      </c>
    </row>
    <row r="157" spans="1:11" x14ac:dyDescent="0.25">
      <c r="A157" t="s">
        <v>159</v>
      </c>
      <c r="B157" s="2">
        <v>45551</v>
      </c>
      <c r="C157" t="s">
        <v>344</v>
      </c>
      <c r="D157" t="s">
        <v>386</v>
      </c>
      <c r="E157" t="s">
        <v>403</v>
      </c>
      <c r="F157" t="s">
        <v>415</v>
      </c>
      <c r="G157" t="s">
        <v>420</v>
      </c>
      <c r="H157">
        <v>100</v>
      </c>
      <c r="I157" t="s">
        <v>421</v>
      </c>
      <c r="J157" t="s">
        <v>424</v>
      </c>
      <c r="K157" t="s">
        <v>429</v>
      </c>
    </row>
    <row r="158" spans="1:11" x14ac:dyDescent="0.25">
      <c r="A158" t="s">
        <v>160</v>
      </c>
      <c r="B158" s="2">
        <v>45454</v>
      </c>
      <c r="C158" t="s">
        <v>345</v>
      </c>
      <c r="D158" t="s">
        <v>387</v>
      </c>
      <c r="E158" t="s">
        <v>408</v>
      </c>
      <c r="F158" t="s">
        <v>411</v>
      </c>
      <c r="G158" t="s">
        <v>416</v>
      </c>
      <c r="H158">
        <v>1</v>
      </c>
      <c r="I158">
        <v>100</v>
      </c>
      <c r="J158" t="s">
        <v>424</v>
      </c>
      <c r="K158" t="s">
        <v>431</v>
      </c>
    </row>
    <row r="159" spans="1:11" x14ac:dyDescent="0.25">
      <c r="A159" t="s">
        <v>161</v>
      </c>
      <c r="B159" s="2">
        <v>45764</v>
      </c>
      <c r="C159" t="s">
        <v>346</v>
      </c>
      <c r="D159" t="s">
        <v>385</v>
      </c>
      <c r="E159" t="s">
        <v>395</v>
      </c>
      <c r="F159" t="s">
        <v>411</v>
      </c>
      <c r="G159" t="s">
        <v>418</v>
      </c>
      <c r="H159">
        <v>4</v>
      </c>
      <c r="I159" t="s">
        <v>421</v>
      </c>
      <c r="J159" t="s">
        <v>424</v>
      </c>
      <c r="K159" t="s">
        <v>429</v>
      </c>
    </row>
    <row r="160" spans="1:11" x14ac:dyDescent="0.25">
      <c r="A160" t="s">
        <v>108</v>
      </c>
      <c r="B160" s="2">
        <v>45612</v>
      </c>
      <c r="C160" t="s">
        <v>221</v>
      </c>
      <c r="D160" t="s">
        <v>392</v>
      </c>
      <c r="E160" t="s">
        <v>409</v>
      </c>
      <c r="F160" t="s">
        <v>414</v>
      </c>
      <c r="G160" t="s">
        <v>416</v>
      </c>
      <c r="H160">
        <v>100</v>
      </c>
      <c r="I160">
        <v>75.5</v>
      </c>
      <c r="J160" t="s">
        <v>424</v>
      </c>
      <c r="K160" t="s">
        <v>431</v>
      </c>
    </row>
    <row r="161" spans="1:11" x14ac:dyDescent="0.25">
      <c r="A161" t="s">
        <v>162</v>
      </c>
      <c r="B161" s="2">
        <v>45701</v>
      </c>
      <c r="C161" t="s">
        <v>347</v>
      </c>
      <c r="D161" t="s">
        <v>388</v>
      </c>
      <c r="E161" t="s">
        <v>398</v>
      </c>
      <c r="F161" t="s">
        <v>411</v>
      </c>
      <c r="G161" t="s">
        <v>419</v>
      </c>
      <c r="H161">
        <v>100</v>
      </c>
      <c r="I161">
        <v>100</v>
      </c>
      <c r="J161" t="s">
        <v>425</v>
      </c>
      <c r="K161" t="s">
        <v>430</v>
      </c>
    </row>
    <row r="162" spans="1:11" x14ac:dyDescent="0.25">
      <c r="A162" t="s">
        <v>163</v>
      </c>
      <c r="B162" s="2">
        <v>45781</v>
      </c>
      <c r="C162" t="s">
        <v>348</v>
      </c>
      <c r="D162" t="s">
        <v>389</v>
      </c>
      <c r="E162" t="s">
        <v>402</v>
      </c>
      <c r="F162" t="s">
        <v>413</v>
      </c>
      <c r="G162" t="s">
        <v>419</v>
      </c>
      <c r="H162">
        <v>100</v>
      </c>
      <c r="I162">
        <v>50</v>
      </c>
      <c r="J162" t="s">
        <v>427</v>
      </c>
      <c r="K162" t="s">
        <v>428</v>
      </c>
    </row>
    <row r="163" spans="1:11" x14ac:dyDescent="0.25">
      <c r="A163" t="s">
        <v>164</v>
      </c>
      <c r="B163" s="2">
        <v>45796</v>
      </c>
      <c r="C163" t="s">
        <v>349</v>
      </c>
      <c r="D163" t="s">
        <v>387</v>
      </c>
      <c r="E163" t="s">
        <v>408</v>
      </c>
      <c r="F163" t="s">
        <v>412</v>
      </c>
      <c r="G163" t="s">
        <v>419</v>
      </c>
      <c r="H163">
        <v>1</v>
      </c>
      <c r="I163" t="s">
        <v>422</v>
      </c>
      <c r="J163" t="s">
        <v>425</v>
      </c>
      <c r="K163" t="s">
        <v>429</v>
      </c>
    </row>
    <row r="164" spans="1:11" x14ac:dyDescent="0.25">
      <c r="A164" t="s">
        <v>165</v>
      </c>
      <c r="B164" s="2">
        <v>45483</v>
      </c>
      <c r="C164" t="s">
        <v>350</v>
      </c>
      <c r="D164" t="s">
        <v>394</v>
      </c>
      <c r="E164" t="s">
        <v>410</v>
      </c>
      <c r="F164" t="s">
        <v>415</v>
      </c>
      <c r="G164" t="s">
        <v>418</v>
      </c>
      <c r="H164">
        <v>100</v>
      </c>
      <c r="I164">
        <v>50</v>
      </c>
      <c r="J164" t="s">
        <v>424</v>
      </c>
      <c r="K164" t="s">
        <v>428</v>
      </c>
    </row>
    <row r="165" spans="1:11" x14ac:dyDescent="0.25">
      <c r="A165" t="s">
        <v>166</v>
      </c>
      <c r="B165" s="2">
        <v>45662</v>
      </c>
      <c r="C165" t="s">
        <v>351</v>
      </c>
      <c r="D165" t="s">
        <v>391</v>
      </c>
      <c r="E165" t="s">
        <v>403</v>
      </c>
      <c r="F165" t="s">
        <v>411</v>
      </c>
      <c r="G165" t="s">
        <v>420</v>
      </c>
      <c r="H165">
        <v>5</v>
      </c>
      <c r="I165" t="s">
        <v>423</v>
      </c>
      <c r="J165" t="s">
        <v>424</v>
      </c>
      <c r="K165" t="s">
        <v>430</v>
      </c>
    </row>
    <row r="166" spans="1:11" x14ac:dyDescent="0.25">
      <c r="A166" t="s">
        <v>167</v>
      </c>
      <c r="B166" s="2">
        <v>45505</v>
      </c>
      <c r="C166" t="s">
        <v>352</v>
      </c>
      <c r="D166" t="s">
        <v>388</v>
      </c>
      <c r="E166" t="s">
        <v>395</v>
      </c>
      <c r="F166" t="s">
        <v>413</v>
      </c>
      <c r="G166" t="s">
        <v>417</v>
      </c>
      <c r="H166">
        <v>5</v>
      </c>
      <c r="I166">
        <v>75.5</v>
      </c>
      <c r="J166" t="s">
        <v>426</v>
      </c>
      <c r="K166" t="s">
        <v>428</v>
      </c>
    </row>
    <row r="167" spans="1:11" x14ac:dyDescent="0.25">
      <c r="A167" t="s">
        <v>168</v>
      </c>
      <c r="B167" s="2">
        <v>45693</v>
      </c>
      <c r="C167" t="s">
        <v>353</v>
      </c>
      <c r="D167" t="s">
        <v>394</v>
      </c>
      <c r="E167" t="s">
        <v>404</v>
      </c>
      <c r="F167" t="s">
        <v>415</v>
      </c>
      <c r="G167" t="s">
        <v>416</v>
      </c>
      <c r="H167">
        <v>2</v>
      </c>
      <c r="I167">
        <v>75.5</v>
      </c>
      <c r="J167" t="s">
        <v>426</v>
      </c>
      <c r="K167" t="s">
        <v>429</v>
      </c>
    </row>
    <row r="168" spans="1:11" x14ac:dyDescent="0.25">
      <c r="A168" t="s">
        <v>169</v>
      </c>
      <c r="B168" s="2">
        <v>45473</v>
      </c>
      <c r="C168" t="s">
        <v>354</v>
      </c>
      <c r="D168" t="s">
        <v>389</v>
      </c>
      <c r="E168" t="s">
        <v>406</v>
      </c>
      <c r="F168" t="s">
        <v>412</v>
      </c>
      <c r="G168" t="s">
        <v>417</v>
      </c>
      <c r="H168">
        <v>2</v>
      </c>
      <c r="I168" t="s">
        <v>422</v>
      </c>
      <c r="K168" t="s">
        <v>430</v>
      </c>
    </row>
    <row r="169" spans="1:11" x14ac:dyDescent="0.25">
      <c r="A169" t="s">
        <v>170</v>
      </c>
      <c r="B169" s="2">
        <v>45563</v>
      </c>
      <c r="C169" t="s">
        <v>355</v>
      </c>
      <c r="D169" t="s">
        <v>386</v>
      </c>
      <c r="E169" t="s">
        <v>397</v>
      </c>
      <c r="F169" t="s">
        <v>414</v>
      </c>
      <c r="G169" t="s">
        <v>417</v>
      </c>
      <c r="H169">
        <v>4</v>
      </c>
      <c r="I169" t="s">
        <v>422</v>
      </c>
      <c r="J169" t="s">
        <v>425</v>
      </c>
      <c r="K169" t="s">
        <v>432</v>
      </c>
    </row>
    <row r="170" spans="1:11" x14ac:dyDescent="0.25">
      <c r="A170" t="s">
        <v>35</v>
      </c>
      <c r="B170" s="2">
        <v>45602</v>
      </c>
      <c r="C170" t="s">
        <v>232</v>
      </c>
      <c r="D170" t="s">
        <v>394</v>
      </c>
      <c r="E170" t="s">
        <v>404</v>
      </c>
      <c r="F170" t="s">
        <v>411</v>
      </c>
      <c r="G170" t="s">
        <v>418</v>
      </c>
      <c r="H170">
        <v>5</v>
      </c>
      <c r="I170">
        <v>100</v>
      </c>
      <c r="J170" t="s">
        <v>425</v>
      </c>
      <c r="K170" t="s">
        <v>433</v>
      </c>
    </row>
    <row r="171" spans="1:11" x14ac:dyDescent="0.25">
      <c r="A171" t="s">
        <v>171</v>
      </c>
      <c r="B171" s="2">
        <v>45636</v>
      </c>
      <c r="C171" t="s">
        <v>356</v>
      </c>
      <c r="D171" t="s">
        <v>388</v>
      </c>
      <c r="E171" t="s">
        <v>398</v>
      </c>
      <c r="F171" t="s">
        <v>415</v>
      </c>
      <c r="G171" t="s">
        <v>417</v>
      </c>
      <c r="H171">
        <v>2</v>
      </c>
      <c r="I171" t="s">
        <v>423</v>
      </c>
      <c r="J171" t="s">
        <v>427</v>
      </c>
      <c r="K171" t="s">
        <v>430</v>
      </c>
    </row>
    <row r="172" spans="1:11" x14ac:dyDescent="0.25">
      <c r="A172" t="s">
        <v>172</v>
      </c>
      <c r="B172" s="2">
        <v>45549</v>
      </c>
      <c r="C172" t="s">
        <v>214</v>
      </c>
      <c r="D172" t="s">
        <v>394</v>
      </c>
      <c r="E172" t="s">
        <v>405</v>
      </c>
      <c r="F172" t="s">
        <v>415</v>
      </c>
      <c r="G172" t="s">
        <v>420</v>
      </c>
      <c r="H172">
        <v>5</v>
      </c>
      <c r="I172" t="s">
        <v>421</v>
      </c>
      <c r="K172" t="s">
        <v>428</v>
      </c>
    </row>
    <row r="173" spans="1:11" x14ac:dyDescent="0.25">
      <c r="A173" t="s">
        <v>173</v>
      </c>
      <c r="B173" s="2">
        <v>45634</v>
      </c>
      <c r="C173" t="s">
        <v>357</v>
      </c>
      <c r="D173" t="s">
        <v>391</v>
      </c>
      <c r="E173" t="s">
        <v>407</v>
      </c>
      <c r="F173" t="s">
        <v>414</v>
      </c>
      <c r="G173" t="s">
        <v>418</v>
      </c>
      <c r="H173">
        <v>1</v>
      </c>
      <c r="I173">
        <v>75.5</v>
      </c>
      <c r="J173" t="s">
        <v>427</v>
      </c>
      <c r="K173" t="s">
        <v>429</v>
      </c>
    </row>
    <row r="174" spans="1:11" x14ac:dyDescent="0.25">
      <c r="A174" t="s">
        <v>174</v>
      </c>
      <c r="B174" s="2">
        <v>45457</v>
      </c>
      <c r="C174" t="s">
        <v>358</v>
      </c>
      <c r="D174" t="s">
        <v>389</v>
      </c>
      <c r="E174" t="s">
        <v>401</v>
      </c>
      <c r="F174" t="s">
        <v>415</v>
      </c>
      <c r="G174" t="s">
        <v>416</v>
      </c>
      <c r="H174">
        <v>100</v>
      </c>
      <c r="I174" t="s">
        <v>422</v>
      </c>
      <c r="J174" t="s">
        <v>424</v>
      </c>
      <c r="K174" t="s">
        <v>428</v>
      </c>
    </row>
    <row r="175" spans="1:11" x14ac:dyDescent="0.25">
      <c r="A175" t="s">
        <v>175</v>
      </c>
      <c r="B175" s="2">
        <v>45457</v>
      </c>
      <c r="C175" t="s">
        <v>359</v>
      </c>
      <c r="D175" t="s">
        <v>389</v>
      </c>
      <c r="E175" t="s">
        <v>406</v>
      </c>
      <c r="F175" t="s">
        <v>413</v>
      </c>
      <c r="G175" t="s">
        <v>419</v>
      </c>
      <c r="H175">
        <v>2</v>
      </c>
      <c r="I175" t="s">
        <v>423</v>
      </c>
      <c r="J175" t="s">
        <v>425</v>
      </c>
      <c r="K175" t="s">
        <v>430</v>
      </c>
    </row>
    <row r="176" spans="1:11" x14ac:dyDescent="0.25">
      <c r="A176" t="s">
        <v>176</v>
      </c>
      <c r="B176" s="2">
        <v>45772</v>
      </c>
      <c r="C176" t="s">
        <v>360</v>
      </c>
      <c r="D176" t="s">
        <v>385</v>
      </c>
      <c r="E176" t="s">
        <v>396</v>
      </c>
      <c r="F176" t="s">
        <v>414</v>
      </c>
      <c r="G176" t="s">
        <v>416</v>
      </c>
      <c r="H176">
        <v>100</v>
      </c>
      <c r="I176">
        <v>75.5</v>
      </c>
      <c r="J176" t="s">
        <v>426</v>
      </c>
      <c r="K176" t="s">
        <v>428</v>
      </c>
    </row>
    <row r="177" spans="1:11" x14ac:dyDescent="0.25">
      <c r="A177" t="s">
        <v>177</v>
      </c>
      <c r="B177" s="2">
        <v>45474</v>
      </c>
      <c r="C177" t="s">
        <v>361</v>
      </c>
      <c r="D177" t="s">
        <v>388</v>
      </c>
      <c r="E177" t="s">
        <v>398</v>
      </c>
      <c r="F177" t="s">
        <v>413</v>
      </c>
      <c r="H177">
        <v>1</v>
      </c>
      <c r="I177">
        <v>75.5</v>
      </c>
      <c r="J177" t="s">
        <v>426</v>
      </c>
      <c r="K177" t="s">
        <v>430</v>
      </c>
    </row>
    <row r="178" spans="1:11" x14ac:dyDescent="0.25">
      <c r="A178" t="s">
        <v>178</v>
      </c>
      <c r="B178" s="2">
        <v>45707</v>
      </c>
      <c r="C178" t="s">
        <v>362</v>
      </c>
      <c r="D178" t="s">
        <v>388</v>
      </c>
      <c r="E178" t="s">
        <v>395</v>
      </c>
      <c r="F178" t="s">
        <v>411</v>
      </c>
      <c r="G178" t="s">
        <v>417</v>
      </c>
      <c r="H178">
        <v>1</v>
      </c>
      <c r="I178">
        <v>100</v>
      </c>
      <c r="J178" t="s">
        <v>427</v>
      </c>
      <c r="K178" t="s">
        <v>428</v>
      </c>
    </row>
    <row r="179" spans="1:11" x14ac:dyDescent="0.25">
      <c r="A179" t="s">
        <v>179</v>
      </c>
      <c r="B179" s="2">
        <v>45528</v>
      </c>
      <c r="C179" t="s">
        <v>363</v>
      </c>
      <c r="D179" t="s">
        <v>390</v>
      </c>
      <c r="E179" t="s">
        <v>401</v>
      </c>
      <c r="F179" t="s">
        <v>413</v>
      </c>
      <c r="G179" t="s">
        <v>420</v>
      </c>
      <c r="H179">
        <v>3</v>
      </c>
      <c r="I179" t="s">
        <v>423</v>
      </c>
      <c r="J179" t="s">
        <v>425</v>
      </c>
      <c r="K179" t="s">
        <v>428</v>
      </c>
    </row>
    <row r="180" spans="1:11" x14ac:dyDescent="0.25">
      <c r="A180" t="s">
        <v>180</v>
      </c>
      <c r="B180" s="2">
        <v>45521</v>
      </c>
      <c r="C180" t="s">
        <v>364</v>
      </c>
      <c r="D180" t="s">
        <v>386</v>
      </c>
      <c r="E180" t="s">
        <v>403</v>
      </c>
      <c r="F180" t="s">
        <v>413</v>
      </c>
      <c r="G180" t="s">
        <v>420</v>
      </c>
      <c r="H180">
        <v>5</v>
      </c>
      <c r="I180" t="s">
        <v>423</v>
      </c>
      <c r="J180" t="s">
        <v>424</v>
      </c>
      <c r="K180" t="s">
        <v>428</v>
      </c>
    </row>
    <row r="181" spans="1:11" x14ac:dyDescent="0.25">
      <c r="A181" t="s">
        <v>181</v>
      </c>
      <c r="B181" s="2">
        <v>45567</v>
      </c>
      <c r="C181" t="s">
        <v>255</v>
      </c>
      <c r="D181" t="s">
        <v>385</v>
      </c>
      <c r="E181" t="s">
        <v>396</v>
      </c>
      <c r="F181" t="s">
        <v>415</v>
      </c>
      <c r="G181" t="s">
        <v>419</v>
      </c>
      <c r="H181">
        <v>100</v>
      </c>
      <c r="I181" t="s">
        <v>423</v>
      </c>
      <c r="J181" t="s">
        <v>424</v>
      </c>
      <c r="K181" t="s">
        <v>428</v>
      </c>
    </row>
    <row r="182" spans="1:11" x14ac:dyDescent="0.25">
      <c r="A182" t="s">
        <v>182</v>
      </c>
      <c r="B182" s="2">
        <v>45714</v>
      </c>
      <c r="C182" t="s">
        <v>365</v>
      </c>
      <c r="D182" t="s">
        <v>391</v>
      </c>
      <c r="E182" t="s">
        <v>397</v>
      </c>
      <c r="F182" t="s">
        <v>413</v>
      </c>
      <c r="G182" t="s">
        <v>416</v>
      </c>
      <c r="I182" t="s">
        <v>423</v>
      </c>
      <c r="J182" t="s">
        <v>425</v>
      </c>
      <c r="K182" t="s">
        <v>428</v>
      </c>
    </row>
    <row r="183" spans="1:11" x14ac:dyDescent="0.25">
      <c r="A183" t="s">
        <v>183</v>
      </c>
      <c r="B183" s="2">
        <v>45686</v>
      </c>
      <c r="C183" t="s">
        <v>366</v>
      </c>
      <c r="D183" t="s">
        <v>389</v>
      </c>
      <c r="E183" t="s">
        <v>401</v>
      </c>
      <c r="F183" t="s">
        <v>415</v>
      </c>
      <c r="H183">
        <v>5</v>
      </c>
      <c r="I183">
        <v>50</v>
      </c>
      <c r="J183" t="s">
        <v>426</v>
      </c>
      <c r="K183" t="s">
        <v>428</v>
      </c>
    </row>
    <row r="184" spans="1:11" x14ac:dyDescent="0.25">
      <c r="A184" t="s">
        <v>175</v>
      </c>
      <c r="B184" s="2">
        <v>45457</v>
      </c>
      <c r="C184" t="s">
        <v>359</v>
      </c>
      <c r="D184" t="s">
        <v>389</v>
      </c>
      <c r="E184" t="s">
        <v>406</v>
      </c>
      <c r="F184" t="s">
        <v>413</v>
      </c>
      <c r="G184" t="s">
        <v>419</v>
      </c>
      <c r="H184">
        <v>2</v>
      </c>
      <c r="I184" t="s">
        <v>423</v>
      </c>
      <c r="J184" t="s">
        <v>425</v>
      </c>
      <c r="K184" t="s">
        <v>430</v>
      </c>
    </row>
    <row r="185" spans="1:11" x14ac:dyDescent="0.25">
      <c r="A185" t="s">
        <v>184</v>
      </c>
      <c r="B185" s="2">
        <v>45586</v>
      </c>
      <c r="C185" t="s">
        <v>241</v>
      </c>
      <c r="D185" t="s">
        <v>393</v>
      </c>
      <c r="E185" t="s">
        <v>399</v>
      </c>
      <c r="F185" t="s">
        <v>414</v>
      </c>
      <c r="G185" t="s">
        <v>416</v>
      </c>
      <c r="H185">
        <v>100</v>
      </c>
      <c r="I185" t="s">
        <v>423</v>
      </c>
      <c r="J185" t="s">
        <v>424</v>
      </c>
      <c r="K185" t="s">
        <v>428</v>
      </c>
    </row>
    <row r="186" spans="1:11" x14ac:dyDescent="0.25">
      <c r="A186" t="s">
        <v>185</v>
      </c>
      <c r="B186" s="2">
        <v>45692</v>
      </c>
      <c r="C186" t="s">
        <v>241</v>
      </c>
      <c r="D186" t="s">
        <v>387</v>
      </c>
      <c r="E186" t="s">
        <v>400</v>
      </c>
      <c r="F186" t="s">
        <v>413</v>
      </c>
      <c r="G186" t="s">
        <v>419</v>
      </c>
      <c r="H186">
        <v>3</v>
      </c>
      <c r="I186" t="s">
        <v>423</v>
      </c>
      <c r="J186" t="s">
        <v>426</v>
      </c>
      <c r="K186" t="s">
        <v>430</v>
      </c>
    </row>
    <row r="187" spans="1:11" x14ac:dyDescent="0.25">
      <c r="A187" t="s">
        <v>186</v>
      </c>
      <c r="B187" s="2">
        <v>45603</v>
      </c>
      <c r="C187" t="s">
        <v>367</v>
      </c>
      <c r="D187" t="s">
        <v>388</v>
      </c>
      <c r="E187" t="s">
        <v>395</v>
      </c>
      <c r="F187" t="s">
        <v>415</v>
      </c>
      <c r="G187" t="s">
        <v>419</v>
      </c>
      <c r="H187">
        <v>2</v>
      </c>
      <c r="I187">
        <v>100</v>
      </c>
      <c r="J187" t="s">
        <v>427</v>
      </c>
      <c r="K187" t="s">
        <v>428</v>
      </c>
    </row>
    <row r="188" spans="1:11" x14ac:dyDescent="0.25">
      <c r="A188" t="s">
        <v>12</v>
      </c>
      <c r="B188" s="2">
        <v>45771</v>
      </c>
      <c r="C188" t="s">
        <v>210</v>
      </c>
      <c r="D188" t="s">
        <v>388</v>
      </c>
      <c r="E188" t="s">
        <v>396</v>
      </c>
      <c r="F188" t="s">
        <v>412</v>
      </c>
      <c r="G188" t="s">
        <v>416</v>
      </c>
      <c r="H188">
        <v>100</v>
      </c>
      <c r="I188" t="s">
        <v>422</v>
      </c>
      <c r="J188" t="s">
        <v>424</v>
      </c>
      <c r="K188" t="s">
        <v>428</v>
      </c>
    </row>
    <row r="189" spans="1:11" x14ac:dyDescent="0.25">
      <c r="A189" t="s">
        <v>187</v>
      </c>
      <c r="B189" s="2">
        <v>45690</v>
      </c>
      <c r="C189" t="s">
        <v>368</v>
      </c>
      <c r="D189" t="s">
        <v>386</v>
      </c>
      <c r="E189" t="s">
        <v>397</v>
      </c>
      <c r="F189" t="s">
        <v>415</v>
      </c>
      <c r="G189" t="s">
        <v>418</v>
      </c>
      <c r="H189">
        <v>3</v>
      </c>
      <c r="I189" t="s">
        <v>423</v>
      </c>
      <c r="K189" t="s">
        <v>429</v>
      </c>
    </row>
    <row r="190" spans="1:11" x14ac:dyDescent="0.25">
      <c r="A190" t="s">
        <v>188</v>
      </c>
      <c r="B190" s="2">
        <v>45634</v>
      </c>
      <c r="C190" t="s">
        <v>369</v>
      </c>
      <c r="D190" t="s">
        <v>386</v>
      </c>
      <c r="E190" t="s">
        <v>403</v>
      </c>
      <c r="F190" t="s">
        <v>413</v>
      </c>
      <c r="G190" t="s">
        <v>417</v>
      </c>
      <c r="H190">
        <v>2</v>
      </c>
      <c r="I190" t="s">
        <v>423</v>
      </c>
      <c r="J190" t="s">
        <v>424</v>
      </c>
      <c r="K190" t="s">
        <v>430</v>
      </c>
    </row>
    <row r="191" spans="1:11" x14ac:dyDescent="0.25">
      <c r="A191" t="s">
        <v>178</v>
      </c>
      <c r="B191" s="2">
        <v>45707</v>
      </c>
      <c r="C191" t="s">
        <v>362</v>
      </c>
      <c r="D191" t="s">
        <v>388</v>
      </c>
      <c r="E191" t="s">
        <v>395</v>
      </c>
      <c r="F191" t="s">
        <v>411</v>
      </c>
      <c r="G191" t="s">
        <v>417</v>
      </c>
      <c r="H191">
        <v>1</v>
      </c>
      <c r="I191">
        <v>100</v>
      </c>
      <c r="J191" t="s">
        <v>427</v>
      </c>
      <c r="K191" t="s">
        <v>428</v>
      </c>
    </row>
    <row r="192" spans="1:11" x14ac:dyDescent="0.25">
      <c r="A192" t="s">
        <v>189</v>
      </c>
      <c r="B192" s="2">
        <v>45498</v>
      </c>
      <c r="C192" t="s">
        <v>370</v>
      </c>
      <c r="D192" t="s">
        <v>393</v>
      </c>
      <c r="E192" t="s">
        <v>400</v>
      </c>
      <c r="F192" t="s">
        <v>412</v>
      </c>
      <c r="G192" t="s">
        <v>417</v>
      </c>
      <c r="H192">
        <v>100</v>
      </c>
      <c r="I192" t="s">
        <v>423</v>
      </c>
      <c r="J192" t="s">
        <v>427</v>
      </c>
      <c r="K192" t="s">
        <v>429</v>
      </c>
    </row>
    <row r="193" spans="1:11" x14ac:dyDescent="0.25">
      <c r="A193" t="s">
        <v>190</v>
      </c>
      <c r="B193" s="2">
        <v>45523</v>
      </c>
      <c r="C193" t="s">
        <v>336</v>
      </c>
      <c r="D193" t="s">
        <v>386</v>
      </c>
      <c r="E193" t="s">
        <v>403</v>
      </c>
      <c r="F193" t="s">
        <v>415</v>
      </c>
      <c r="H193">
        <v>2</v>
      </c>
      <c r="I193">
        <v>50</v>
      </c>
      <c r="J193" t="s">
        <v>426</v>
      </c>
      <c r="K193" t="s">
        <v>430</v>
      </c>
    </row>
    <row r="194" spans="1:11" x14ac:dyDescent="0.25">
      <c r="A194" t="s">
        <v>191</v>
      </c>
      <c r="B194" s="2">
        <v>45616</v>
      </c>
      <c r="C194" t="s">
        <v>371</v>
      </c>
      <c r="D194" t="s">
        <v>385</v>
      </c>
      <c r="E194" t="s">
        <v>398</v>
      </c>
      <c r="F194" t="s">
        <v>411</v>
      </c>
      <c r="G194" t="s">
        <v>418</v>
      </c>
      <c r="H194">
        <v>100</v>
      </c>
      <c r="I194" t="s">
        <v>421</v>
      </c>
      <c r="J194" t="s">
        <v>426</v>
      </c>
      <c r="K194" t="s">
        <v>430</v>
      </c>
    </row>
    <row r="195" spans="1:11" x14ac:dyDescent="0.25">
      <c r="A195" t="s">
        <v>192</v>
      </c>
      <c r="B195" s="2">
        <v>45608</v>
      </c>
      <c r="C195" t="s">
        <v>372</v>
      </c>
      <c r="D195" t="s">
        <v>389</v>
      </c>
      <c r="E195" t="s">
        <v>401</v>
      </c>
      <c r="F195" t="s">
        <v>415</v>
      </c>
      <c r="G195" t="s">
        <v>419</v>
      </c>
      <c r="H195">
        <v>3</v>
      </c>
      <c r="I195" t="s">
        <v>421</v>
      </c>
      <c r="J195" t="s">
        <v>427</v>
      </c>
      <c r="K195" t="s">
        <v>428</v>
      </c>
    </row>
    <row r="196" spans="1:11" x14ac:dyDescent="0.25">
      <c r="A196" t="s">
        <v>13</v>
      </c>
      <c r="B196" s="2">
        <v>45553</v>
      </c>
      <c r="C196" t="s">
        <v>211</v>
      </c>
      <c r="D196" t="s">
        <v>391</v>
      </c>
      <c r="E196" t="s">
        <v>397</v>
      </c>
      <c r="F196" t="s">
        <v>411</v>
      </c>
      <c r="G196" t="s">
        <v>416</v>
      </c>
      <c r="H196">
        <v>3</v>
      </c>
      <c r="I196" t="s">
        <v>421</v>
      </c>
      <c r="J196" t="s">
        <v>425</v>
      </c>
      <c r="K196" t="s">
        <v>429</v>
      </c>
    </row>
    <row r="197" spans="1:11" x14ac:dyDescent="0.25">
      <c r="A197" t="s">
        <v>34</v>
      </c>
      <c r="B197" s="2">
        <v>45592</v>
      </c>
      <c r="C197" t="s">
        <v>231</v>
      </c>
      <c r="D197" t="s">
        <v>386</v>
      </c>
      <c r="E197" t="s">
        <v>397</v>
      </c>
      <c r="F197" t="s">
        <v>414</v>
      </c>
      <c r="G197" t="s">
        <v>418</v>
      </c>
      <c r="H197">
        <v>5</v>
      </c>
      <c r="I197" t="s">
        <v>422</v>
      </c>
      <c r="J197" t="s">
        <v>426</v>
      </c>
      <c r="K197" t="s">
        <v>428</v>
      </c>
    </row>
    <row r="198" spans="1:11" x14ac:dyDescent="0.25">
      <c r="A198" t="s">
        <v>193</v>
      </c>
      <c r="B198" s="2">
        <v>45770</v>
      </c>
      <c r="C198" t="s">
        <v>373</v>
      </c>
      <c r="D198" t="s">
        <v>390</v>
      </c>
      <c r="E198" t="s">
        <v>402</v>
      </c>
      <c r="F198" t="s">
        <v>413</v>
      </c>
      <c r="G198" t="s">
        <v>418</v>
      </c>
      <c r="H198">
        <v>3</v>
      </c>
      <c r="I198">
        <v>75.5</v>
      </c>
      <c r="J198" t="s">
        <v>424</v>
      </c>
      <c r="K198" t="s">
        <v>429</v>
      </c>
    </row>
    <row r="199" spans="1:11" x14ac:dyDescent="0.25">
      <c r="A199" t="s">
        <v>194</v>
      </c>
      <c r="B199" s="2">
        <v>45472</v>
      </c>
      <c r="C199" t="s">
        <v>374</v>
      </c>
      <c r="D199" t="s">
        <v>385</v>
      </c>
      <c r="E199" t="s">
        <v>398</v>
      </c>
      <c r="F199" t="s">
        <v>411</v>
      </c>
      <c r="G199" t="s">
        <v>419</v>
      </c>
      <c r="H199">
        <v>3</v>
      </c>
      <c r="I199" t="s">
        <v>422</v>
      </c>
      <c r="J199" t="s">
        <v>424</v>
      </c>
      <c r="K199" t="s">
        <v>428</v>
      </c>
    </row>
    <row r="200" spans="1:11" x14ac:dyDescent="0.25">
      <c r="A200" t="s">
        <v>195</v>
      </c>
      <c r="B200" s="2">
        <v>45464</v>
      </c>
      <c r="C200" t="s">
        <v>375</v>
      </c>
      <c r="D200" t="s">
        <v>393</v>
      </c>
      <c r="E200" t="s">
        <v>400</v>
      </c>
      <c r="F200" t="s">
        <v>413</v>
      </c>
      <c r="G200" t="s">
        <v>418</v>
      </c>
      <c r="H200">
        <v>3</v>
      </c>
      <c r="I200">
        <v>75.5</v>
      </c>
      <c r="J200" t="s">
        <v>425</v>
      </c>
      <c r="K200" t="s">
        <v>430</v>
      </c>
    </row>
    <row r="201" spans="1:11" x14ac:dyDescent="0.25">
      <c r="A201" t="s">
        <v>196</v>
      </c>
      <c r="B201" s="2">
        <v>45448</v>
      </c>
      <c r="C201" t="s">
        <v>376</v>
      </c>
      <c r="D201" t="s">
        <v>388</v>
      </c>
      <c r="E201" t="s">
        <v>396</v>
      </c>
      <c r="F201" t="s">
        <v>415</v>
      </c>
      <c r="G201" t="s">
        <v>416</v>
      </c>
      <c r="H201">
        <v>100</v>
      </c>
      <c r="I201">
        <v>100</v>
      </c>
      <c r="J201" t="s">
        <v>427</v>
      </c>
      <c r="K201" t="s">
        <v>428</v>
      </c>
    </row>
    <row r="202" spans="1:11" x14ac:dyDescent="0.25">
      <c r="A202" t="s">
        <v>197</v>
      </c>
      <c r="B202" s="2">
        <v>45663</v>
      </c>
      <c r="C202" t="s">
        <v>377</v>
      </c>
      <c r="D202" t="s">
        <v>391</v>
      </c>
      <c r="E202" t="s">
        <v>407</v>
      </c>
      <c r="F202" t="s">
        <v>415</v>
      </c>
      <c r="G202" t="s">
        <v>419</v>
      </c>
      <c r="H202">
        <v>3</v>
      </c>
      <c r="I202" t="s">
        <v>422</v>
      </c>
      <c r="J202" t="s">
        <v>426</v>
      </c>
      <c r="K202" t="s">
        <v>428</v>
      </c>
    </row>
    <row r="203" spans="1:11" x14ac:dyDescent="0.25">
      <c r="A203" t="s">
        <v>198</v>
      </c>
      <c r="B203" s="2">
        <v>45485</v>
      </c>
      <c r="D203" t="s">
        <v>390</v>
      </c>
      <c r="E203" t="s">
        <v>406</v>
      </c>
      <c r="F203" t="s">
        <v>412</v>
      </c>
      <c r="G203" t="s">
        <v>416</v>
      </c>
      <c r="H203">
        <v>100</v>
      </c>
      <c r="I203">
        <v>100</v>
      </c>
      <c r="J203" t="s">
        <v>425</v>
      </c>
      <c r="K203" t="s">
        <v>429</v>
      </c>
    </row>
    <row r="204" spans="1:11" x14ac:dyDescent="0.25">
      <c r="A204" t="s">
        <v>199</v>
      </c>
      <c r="B204" s="2">
        <v>45783</v>
      </c>
      <c r="C204" t="s">
        <v>378</v>
      </c>
      <c r="D204" t="s">
        <v>390</v>
      </c>
      <c r="E204" t="s">
        <v>401</v>
      </c>
      <c r="F204" t="s">
        <v>415</v>
      </c>
      <c r="G204" t="s">
        <v>417</v>
      </c>
      <c r="H204">
        <v>3</v>
      </c>
      <c r="I204">
        <v>50</v>
      </c>
      <c r="J204" t="s">
        <v>427</v>
      </c>
      <c r="K204" t="s">
        <v>429</v>
      </c>
    </row>
    <row r="205" spans="1:11" x14ac:dyDescent="0.25">
      <c r="A205" t="s">
        <v>200</v>
      </c>
      <c r="B205" s="2">
        <v>45796</v>
      </c>
      <c r="C205" t="s">
        <v>379</v>
      </c>
      <c r="D205" t="s">
        <v>393</v>
      </c>
      <c r="E205" t="s">
        <v>400</v>
      </c>
      <c r="F205" t="s">
        <v>413</v>
      </c>
      <c r="G205" t="s">
        <v>416</v>
      </c>
      <c r="H205">
        <v>5</v>
      </c>
      <c r="I205" t="s">
        <v>423</v>
      </c>
      <c r="J205" t="s">
        <v>426</v>
      </c>
      <c r="K205" t="s">
        <v>428</v>
      </c>
    </row>
    <row r="206" spans="1:11" x14ac:dyDescent="0.25">
      <c r="A206" t="s">
        <v>100</v>
      </c>
      <c r="B206" s="2">
        <v>45488</v>
      </c>
      <c r="C206" t="s">
        <v>294</v>
      </c>
      <c r="D206" t="s">
        <v>392</v>
      </c>
      <c r="E206" t="s">
        <v>404</v>
      </c>
      <c r="F206" t="s">
        <v>413</v>
      </c>
      <c r="G206" t="s">
        <v>418</v>
      </c>
      <c r="H206">
        <v>4</v>
      </c>
      <c r="I206">
        <v>100</v>
      </c>
      <c r="J206" t="s">
        <v>426</v>
      </c>
      <c r="K206" t="s">
        <v>428</v>
      </c>
    </row>
    <row r="207" spans="1:11" x14ac:dyDescent="0.25">
      <c r="B207" s="2"/>
    </row>
    <row r="208" spans="1:11" x14ac:dyDescent="0.25">
      <c r="A208" t="s">
        <v>120</v>
      </c>
      <c r="B208" s="2">
        <v>45514</v>
      </c>
      <c r="C208" t="s">
        <v>295</v>
      </c>
      <c r="D208" t="s">
        <v>386</v>
      </c>
      <c r="E208" t="s">
        <v>403</v>
      </c>
      <c r="F208" t="s">
        <v>411</v>
      </c>
      <c r="G208" t="s">
        <v>417</v>
      </c>
      <c r="H208">
        <v>2</v>
      </c>
      <c r="I208" t="s">
        <v>422</v>
      </c>
      <c r="J208" t="s">
        <v>425</v>
      </c>
      <c r="K208" t="s">
        <v>430</v>
      </c>
    </row>
    <row r="209" spans="1:11" x14ac:dyDescent="0.25">
      <c r="A209" t="s">
        <v>201</v>
      </c>
      <c r="B209" s="2">
        <v>45676</v>
      </c>
      <c r="C209" t="s">
        <v>380</v>
      </c>
      <c r="D209" t="s">
        <v>394</v>
      </c>
      <c r="E209" t="s">
        <v>405</v>
      </c>
      <c r="F209" t="s">
        <v>413</v>
      </c>
      <c r="G209" t="s">
        <v>420</v>
      </c>
      <c r="H209">
        <v>5</v>
      </c>
      <c r="I209" t="s">
        <v>421</v>
      </c>
      <c r="J209" t="s">
        <v>427</v>
      </c>
      <c r="K209" t="s">
        <v>429</v>
      </c>
    </row>
    <row r="210" spans="1:11" x14ac:dyDescent="0.25">
      <c r="A210" t="s">
        <v>202</v>
      </c>
      <c r="B210" s="2">
        <v>45489</v>
      </c>
      <c r="D210" t="s">
        <v>386</v>
      </c>
      <c r="E210" t="s">
        <v>407</v>
      </c>
      <c r="F210" t="s">
        <v>414</v>
      </c>
      <c r="G210" t="s">
        <v>418</v>
      </c>
      <c r="H210">
        <v>1</v>
      </c>
      <c r="I210" t="s">
        <v>423</v>
      </c>
      <c r="J210" t="s">
        <v>427</v>
      </c>
      <c r="K210" t="s">
        <v>430</v>
      </c>
    </row>
    <row r="211" spans="1:11" x14ac:dyDescent="0.25">
      <c r="A211" t="s">
        <v>203</v>
      </c>
      <c r="B211" s="2">
        <v>45464</v>
      </c>
      <c r="C211" t="s">
        <v>381</v>
      </c>
      <c r="D211" t="s">
        <v>385</v>
      </c>
      <c r="E211" t="s">
        <v>398</v>
      </c>
      <c r="F211" t="s">
        <v>412</v>
      </c>
      <c r="G211" t="s">
        <v>419</v>
      </c>
      <c r="H211">
        <v>1</v>
      </c>
      <c r="I211">
        <v>50</v>
      </c>
      <c r="J211" t="s">
        <v>424</v>
      </c>
      <c r="K211" t="s">
        <v>429</v>
      </c>
    </row>
    <row r="212" spans="1:11" x14ac:dyDescent="0.25">
      <c r="A212" t="s">
        <v>204</v>
      </c>
      <c r="B212" s="2">
        <v>45570</v>
      </c>
      <c r="C212" t="s">
        <v>310</v>
      </c>
      <c r="D212" t="s">
        <v>388</v>
      </c>
      <c r="E212" t="s">
        <v>398</v>
      </c>
      <c r="F212" t="s">
        <v>411</v>
      </c>
      <c r="G212" t="s">
        <v>416</v>
      </c>
      <c r="H212">
        <v>3</v>
      </c>
      <c r="I212" t="s">
        <v>422</v>
      </c>
      <c r="J212" t="s">
        <v>427</v>
      </c>
      <c r="K212" t="s">
        <v>428</v>
      </c>
    </row>
    <row r="213" spans="1:11" x14ac:dyDescent="0.25">
      <c r="A213" t="s">
        <v>205</v>
      </c>
      <c r="B213" s="2">
        <v>45492</v>
      </c>
      <c r="C213" t="s">
        <v>382</v>
      </c>
      <c r="D213" t="s">
        <v>391</v>
      </c>
      <c r="E213" t="s">
        <v>407</v>
      </c>
      <c r="F213" t="s">
        <v>411</v>
      </c>
      <c r="G213" t="s">
        <v>420</v>
      </c>
      <c r="H213">
        <v>4</v>
      </c>
      <c r="I213">
        <v>100</v>
      </c>
      <c r="J213" t="s">
        <v>427</v>
      </c>
      <c r="K213" t="s">
        <v>428</v>
      </c>
    </row>
    <row r="214" spans="1:11" x14ac:dyDescent="0.25">
      <c r="A214" t="s">
        <v>206</v>
      </c>
      <c r="B214" s="2">
        <v>45494</v>
      </c>
      <c r="C214" t="s">
        <v>301</v>
      </c>
      <c r="D214" t="s">
        <v>391</v>
      </c>
      <c r="E214" t="s">
        <v>397</v>
      </c>
      <c r="F214" t="s">
        <v>414</v>
      </c>
      <c r="G214" t="s">
        <v>417</v>
      </c>
      <c r="H214">
        <v>2</v>
      </c>
      <c r="I214">
        <v>75.5</v>
      </c>
      <c r="J214" t="s">
        <v>424</v>
      </c>
      <c r="K214" t="s">
        <v>430</v>
      </c>
    </row>
    <row r="215" spans="1:11" x14ac:dyDescent="0.25">
      <c r="A215" t="s">
        <v>207</v>
      </c>
      <c r="B215" s="2">
        <v>45518</v>
      </c>
      <c r="C215" t="s">
        <v>383</v>
      </c>
      <c r="D215" t="s">
        <v>389</v>
      </c>
      <c r="E215" t="s">
        <v>401</v>
      </c>
      <c r="F215" t="s">
        <v>413</v>
      </c>
      <c r="G215" t="s">
        <v>416</v>
      </c>
      <c r="H215">
        <v>3</v>
      </c>
      <c r="I215">
        <v>50</v>
      </c>
      <c r="J215" t="s">
        <v>426</v>
      </c>
      <c r="K215" t="s">
        <v>428</v>
      </c>
    </row>
    <row r="216" spans="1:11" x14ac:dyDescent="0.25">
      <c r="B216" s="2"/>
    </row>
    <row r="217" spans="1:11" x14ac:dyDescent="0.25">
      <c r="A217" t="s">
        <v>204</v>
      </c>
      <c r="B217" s="2">
        <v>45570</v>
      </c>
      <c r="C217" t="s">
        <v>310</v>
      </c>
      <c r="D217" t="s">
        <v>388</v>
      </c>
      <c r="E217" t="s">
        <v>398</v>
      </c>
      <c r="F217" t="s">
        <v>411</v>
      </c>
      <c r="G217" t="s">
        <v>416</v>
      </c>
      <c r="H217">
        <v>3</v>
      </c>
      <c r="I217" t="s">
        <v>422</v>
      </c>
      <c r="J217" t="s">
        <v>427</v>
      </c>
      <c r="K217" t="s">
        <v>428</v>
      </c>
    </row>
    <row r="218" spans="1:11" x14ac:dyDescent="0.25">
      <c r="A218" t="s">
        <v>208</v>
      </c>
      <c r="B218" s="2">
        <v>45697</v>
      </c>
      <c r="C218" t="s">
        <v>384</v>
      </c>
      <c r="D218" t="s">
        <v>388</v>
      </c>
      <c r="E218" t="s">
        <v>398</v>
      </c>
      <c r="F218" t="s">
        <v>412</v>
      </c>
      <c r="G218" t="s">
        <v>417</v>
      </c>
      <c r="H218">
        <v>4</v>
      </c>
      <c r="I218">
        <v>100</v>
      </c>
      <c r="J218" t="s">
        <v>427</v>
      </c>
      <c r="K218" t="s">
        <v>429</v>
      </c>
    </row>
    <row r="219" spans="1:11" x14ac:dyDescent="0.25">
      <c r="A219" t="s">
        <v>123</v>
      </c>
      <c r="B219" s="2">
        <f>B214</f>
        <v>45494</v>
      </c>
      <c r="C219" t="s">
        <v>312</v>
      </c>
      <c r="D219" t="s">
        <v>389</v>
      </c>
      <c r="E219" t="s">
        <v>406</v>
      </c>
      <c r="F219" t="s">
        <v>412</v>
      </c>
      <c r="G219" t="s">
        <v>420</v>
      </c>
      <c r="H219">
        <v>1</v>
      </c>
      <c r="I219">
        <v>100</v>
      </c>
      <c r="J219" t="s">
        <v>427</v>
      </c>
      <c r="K219" t="s">
        <v>429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Dashboards</vt:lpstr>
      <vt:lpstr>working data</vt:lpstr>
      <vt:lpstr>back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dxbgamers.com</dc:creator>
  <cp:lastModifiedBy>Admin1</cp:lastModifiedBy>
  <dcterms:created xsi:type="dcterms:W3CDTF">2025-06-02T16:05:44Z</dcterms:created>
  <dcterms:modified xsi:type="dcterms:W3CDTF">2026-06-07T08:18:15Z</dcterms:modified>
</cp:coreProperties>
</file>